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utomation System\Chiquinho_dash\data\"/>
    </mc:Choice>
  </mc:AlternateContent>
  <xr:revisionPtr revIDLastSave="0" documentId="13_ncr:1_{EB577033-7911-4693-A890-7B9665D2B773}" xr6:coauthVersionLast="47" xr6:coauthVersionMax="47" xr10:uidLastSave="{00000000-0000-0000-0000-000000000000}"/>
  <bookViews>
    <workbookView xWindow="-108" yWindow="-108" windowWidth="23256" windowHeight="12456" xr2:uid="{E8A7FD42-FEFC-472A-BAC1-FD1F853BE0FC}"/>
  </bookViews>
  <sheets>
    <sheet name="SUGESTAO_LOJA" sheetId="1" r:id="rId1"/>
  </sheets>
  <externalReferences>
    <externalReference r:id="rId2"/>
  </externalReferences>
  <definedNames>
    <definedName name="_xlnm.Print_Area" localSheetId="0">SUGESTAO_LOJA!$A$1:$Q$316</definedName>
    <definedName name="_xlnm.Print_Titles" localSheetId="0">SUGESTAO_LOJA!$3:$4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4" i="1" l="1"/>
  <c r="N384" i="1"/>
  <c r="Q384" i="1" s="1"/>
  <c r="M384" i="1"/>
  <c r="G384" i="1"/>
  <c r="H384" i="1" s="1"/>
  <c r="C384" i="1"/>
  <c r="P383" i="1"/>
  <c r="O383" i="1"/>
  <c r="N383" i="1"/>
  <c r="Q383" i="1" s="1"/>
  <c r="M383" i="1"/>
  <c r="J383" i="1"/>
  <c r="K383" i="1" s="1"/>
  <c r="G383" i="1"/>
  <c r="H383" i="1" s="1"/>
  <c r="C383" i="1"/>
  <c r="P382" i="1"/>
  <c r="O382" i="1"/>
  <c r="N382" i="1"/>
  <c r="Q382" i="1" s="1"/>
  <c r="M382" i="1"/>
  <c r="J382" i="1"/>
  <c r="K382" i="1" s="1"/>
  <c r="H382" i="1"/>
  <c r="G382" i="1"/>
  <c r="C382" i="1"/>
  <c r="P381" i="1"/>
  <c r="O381" i="1"/>
  <c r="N381" i="1"/>
  <c r="Q381" i="1" s="1"/>
  <c r="M381" i="1"/>
  <c r="K381" i="1"/>
  <c r="J381" i="1"/>
  <c r="H381" i="1"/>
  <c r="G381" i="1"/>
  <c r="C381" i="1"/>
  <c r="O380" i="1"/>
  <c r="N380" i="1"/>
  <c r="Q380" i="1" s="1"/>
  <c r="M380" i="1"/>
  <c r="G380" i="1"/>
  <c r="H380" i="1" s="1"/>
  <c r="C380" i="1"/>
  <c r="P379" i="1"/>
  <c r="O379" i="1"/>
  <c r="N379" i="1"/>
  <c r="Q379" i="1" s="1"/>
  <c r="M379" i="1"/>
  <c r="J379" i="1"/>
  <c r="K379" i="1" s="1"/>
  <c r="G379" i="1"/>
  <c r="H379" i="1" s="1"/>
  <c r="C379" i="1"/>
  <c r="O378" i="1"/>
  <c r="N378" i="1"/>
  <c r="Q378" i="1" s="1"/>
  <c r="M378" i="1"/>
  <c r="J378" i="1"/>
  <c r="K378" i="1" s="1"/>
  <c r="H378" i="1"/>
  <c r="G378" i="1"/>
  <c r="C378" i="1"/>
  <c r="P377" i="1"/>
  <c r="O377" i="1"/>
  <c r="N377" i="1"/>
  <c r="Q377" i="1" s="1"/>
  <c r="M377" i="1"/>
  <c r="K377" i="1"/>
  <c r="J377" i="1"/>
  <c r="H377" i="1"/>
  <c r="G377" i="1"/>
  <c r="C377" i="1"/>
  <c r="O376" i="1"/>
  <c r="N376" i="1"/>
  <c r="Q376" i="1" s="1"/>
  <c r="M376" i="1"/>
  <c r="G376" i="1"/>
  <c r="H376" i="1" s="1"/>
  <c r="C376" i="1"/>
  <c r="P375" i="1"/>
  <c r="O375" i="1"/>
  <c r="N375" i="1"/>
  <c r="J375" i="1" s="1"/>
  <c r="K375" i="1" s="1"/>
  <c r="M375" i="1"/>
  <c r="G375" i="1"/>
  <c r="H375" i="1" s="1"/>
  <c r="C375" i="1"/>
  <c r="O374" i="1"/>
  <c r="N374" i="1"/>
  <c r="Q374" i="1" s="1"/>
  <c r="M374" i="1"/>
  <c r="J374" i="1"/>
  <c r="K374" i="1" s="1"/>
  <c r="H374" i="1"/>
  <c r="G374" i="1"/>
  <c r="C374" i="1"/>
  <c r="O373" i="1"/>
  <c r="N373" i="1"/>
  <c r="J373" i="1" s="1"/>
  <c r="K373" i="1" s="1"/>
  <c r="M373" i="1"/>
  <c r="G373" i="1"/>
  <c r="H373" i="1" s="1"/>
  <c r="C373" i="1"/>
  <c r="O372" i="1"/>
  <c r="N372" i="1"/>
  <c r="Q372" i="1" s="1"/>
  <c r="M372" i="1"/>
  <c r="G372" i="1"/>
  <c r="H372" i="1" s="1"/>
  <c r="C372" i="1"/>
  <c r="O371" i="1"/>
  <c r="N371" i="1"/>
  <c r="J371" i="1" s="1"/>
  <c r="K371" i="1" s="1"/>
  <c r="M371" i="1"/>
  <c r="G371" i="1"/>
  <c r="H371" i="1" s="1"/>
  <c r="C371" i="1"/>
  <c r="P370" i="1"/>
  <c r="O370" i="1"/>
  <c r="N370" i="1"/>
  <c r="J370" i="1" s="1"/>
  <c r="K370" i="1" s="1"/>
  <c r="M370" i="1"/>
  <c r="H370" i="1"/>
  <c r="G370" i="1"/>
  <c r="C370" i="1"/>
  <c r="O369" i="1"/>
  <c r="N369" i="1"/>
  <c r="J369" i="1" s="1"/>
  <c r="K369" i="1" s="1"/>
  <c r="M369" i="1"/>
  <c r="G369" i="1"/>
  <c r="H369" i="1" s="1"/>
  <c r="C369" i="1"/>
  <c r="O368" i="1"/>
  <c r="N368" i="1"/>
  <c r="Q368" i="1" s="1"/>
  <c r="M368" i="1"/>
  <c r="G368" i="1"/>
  <c r="H368" i="1" s="1"/>
  <c r="C368" i="1"/>
  <c r="O367" i="1"/>
  <c r="N367" i="1"/>
  <c r="J367" i="1" s="1"/>
  <c r="K367" i="1" s="1"/>
  <c r="M367" i="1"/>
  <c r="G367" i="1"/>
  <c r="H367" i="1" s="1"/>
  <c r="C367" i="1"/>
  <c r="P366" i="1"/>
  <c r="O366" i="1"/>
  <c r="N366" i="1"/>
  <c r="Q366" i="1" s="1"/>
  <c r="M366" i="1"/>
  <c r="J366" i="1"/>
  <c r="K366" i="1" s="1"/>
  <c r="H366" i="1"/>
  <c r="G366" i="1"/>
  <c r="C366" i="1"/>
  <c r="O365" i="1"/>
  <c r="N365" i="1"/>
  <c r="J365" i="1" s="1"/>
  <c r="K365" i="1" s="1"/>
  <c r="M365" i="1"/>
  <c r="H365" i="1"/>
  <c r="G365" i="1"/>
  <c r="C365" i="1"/>
  <c r="O364" i="1"/>
  <c r="N364" i="1"/>
  <c r="Q364" i="1" s="1"/>
  <c r="M364" i="1"/>
  <c r="G364" i="1"/>
  <c r="H364" i="1" s="1"/>
  <c r="C364" i="1"/>
  <c r="O363" i="1"/>
  <c r="N363" i="1"/>
  <c r="J363" i="1" s="1"/>
  <c r="K363" i="1" s="1"/>
  <c r="M363" i="1"/>
  <c r="G363" i="1"/>
  <c r="H363" i="1" s="1"/>
  <c r="C363" i="1"/>
  <c r="P362" i="1"/>
  <c r="O362" i="1"/>
  <c r="N362" i="1"/>
  <c r="Q362" i="1" s="1"/>
  <c r="M362" i="1"/>
  <c r="J362" i="1"/>
  <c r="K362" i="1" s="1"/>
  <c r="H362" i="1"/>
  <c r="G362" i="1"/>
  <c r="C362" i="1"/>
  <c r="O361" i="1"/>
  <c r="N361" i="1"/>
  <c r="J361" i="1" s="1"/>
  <c r="K361" i="1" s="1"/>
  <c r="M361" i="1"/>
  <c r="H361" i="1"/>
  <c r="G361" i="1"/>
  <c r="C361" i="1"/>
  <c r="O360" i="1"/>
  <c r="N360" i="1"/>
  <c r="Q360" i="1" s="1"/>
  <c r="M360" i="1"/>
  <c r="G360" i="1"/>
  <c r="H360" i="1" s="1"/>
  <c r="C360" i="1"/>
  <c r="O359" i="1"/>
  <c r="N359" i="1"/>
  <c r="J359" i="1" s="1"/>
  <c r="K359" i="1" s="1"/>
  <c r="M359" i="1"/>
  <c r="G359" i="1"/>
  <c r="H359" i="1" s="1"/>
  <c r="C359" i="1"/>
  <c r="P358" i="1"/>
  <c r="O358" i="1"/>
  <c r="N358" i="1"/>
  <c r="Q358" i="1" s="1"/>
  <c r="M358" i="1"/>
  <c r="J358" i="1"/>
  <c r="K358" i="1" s="1"/>
  <c r="H358" i="1"/>
  <c r="G358" i="1"/>
  <c r="C358" i="1"/>
  <c r="O357" i="1"/>
  <c r="N357" i="1"/>
  <c r="J357" i="1" s="1"/>
  <c r="K357" i="1" s="1"/>
  <c r="M357" i="1"/>
  <c r="H357" i="1"/>
  <c r="G357" i="1"/>
  <c r="C357" i="1"/>
  <c r="O356" i="1"/>
  <c r="N356" i="1"/>
  <c r="Q356" i="1" s="1"/>
  <c r="M356" i="1"/>
  <c r="G356" i="1"/>
  <c r="H356" i="1" s="1"/>
  <c r="C356" i="1"/>
  <c r="P355" i="1"/>
  <c r="O355" i="1"/>
  <c r="N355" i="1"/>
  <c r="Q355" i="1" s="1"/>
  <c r="M355" i="1"/>
  <c r="J355" i="1"/>
  <c r="K355" i="1" s="1"/>
  <c r="G355" i="1"/>
  <c r="H355" i="1" s="1"/>
  <c r="Q354" i="1"/>
  <c r="O354" i="1"/>
  <c r="N354" i="1"/>
  <c r="J354" i="1" s="1"/>
  <c r="K354" i="1" s="1"/>
  <c r="M354" i="1"/>
  <c r="G354" i="1"/>
  <c r="H354" i="1" s="1"/>
  <c r="P353" i="1"/>
  <c r="O353" i="1"/>
  <c r="N353" i="1"/>
  <c r="Q353" i="1" s="1"/>
  <c r="M353" i="1"/>
  <c r="J353" i="1"/>
  <c r="K353" i="1" s="1"/>
  <c r="H353" i="1"/>
  <c r="G353" i="1"/>
  <c r="O352" i="1"/>
  <c r="N352" i="1"/>
  <c r="Q352" i="1" s="1"/>
  <c r="M352" i="1"/>
  <c r="J352" i="1"/>
  <c r="K352" i="1" s="1"/>
  <c r="G352" i="1"/>
  <c r="H352" i="1" s="1"/>
  <c r="Q351" i="1"/>
  <c r="O351" i="1"/>
  <c r="N351" i="1"/>
  <c r="J351" i="1" s="1"/>
  <c r="K351" i="1" s="1"/>
  <c r="M351" i="1"/>
  <c r="H351" i="1"/>
  <c r="G351" i="1"/>
  <c r="P350" i="1"/>
  <c r="O350" i="1"/>
  <c r="N350" i="1"/>
  <c r="Q350" i="1" s="1"/>
  <c r="M350" i="1"/>
  <c r="J350" i="1"/>
  <c r="K350" i="1" s="1"/>
  <c r="H350" i="1"/>
  <c r="G350" i="1"/>
  <c r="O349" i="1"/>
  <c r="N349" i="1"/>
  <c r="Q349" i="1" s="1"/>
  <c r="M349" i="1"/>
  <c r="G349" i="1"/>
  <c r="H349" i="1" s="1"/>
  <c r="Q348" i="1"/>
  <c r="P348" i="1"/>
  <c r="O348" i="1"/>
  <c r="N348" i="1"/>
  <c r="M348" i="1"/>
  <c r="K348" i="1"/>
  <c r="J348" i="1"/>
  <c r="H348" i="1"/>
  <c r="G348" i="1"/>
  <c r="P347" i="1"/>
  <c r="O347" i="1"/>
  <c r="N347" i="1"/>
  <c r="Q347" i="1" s="1"/>
  <c r="M347" i="1"/>
  <c r="J347" i="1"/>
  <c r="K347" i="1" s="1"/>
  <c r="G347" i="1"/>
  <c r="H347" i="1" s="1"/>
  <c r="Q346" i="1"/>
  <c r="O346" i="1"/>
  <c r="N346" i="1"/>
  <c r="J346" i="1" s="1"/>
  <c r="K346" i="1" s="1"/>
  <c r="M346" i="1"/>
  <c r="G346" i="1"/>
  <c r="H346" i="1" s="1"/>
  <c r="P345" i="1"/>
  <c r="O345" i="1"/>
  <c r="N345" i="1"/>
  <c r="Q345" i="1" s="1"/>
  <c r="M345" i="1"/>
  <c r="J345" i="1"/>
  <c r="K345" i="1" s="1"/>
  <c r="H345" i="1"/>
  <c r="G345" i="1"/>
  <c r="O344" i="1"/>
  <c r="N344" i="1"/>
  <c r="Q344" i="1" s="1"/>
  <c r="M344" i="1"/>
  <c r="J344" i="1"/>
  <c r="K344" i="1" s="1"/>
  <c r="G344" i="1"/>
  <c r="H344" i="1" s="1"/>
  <c r="Q343" i="1"/>
  <c r="O343" i="1"/>
  <c r="N343" i="1"/>
  <c r="J343" i="1" s="1"/>
  <c r="K343" i="1" s="1"/>
  <c r="M343" i="1"/>
  <c r="H343" i="1"/>
  <c r="G343" i="1"/>
  <c r="P342" i="1"/>
  <c r="O342" i="1"/>
  <c r="N342" i="1"/>
  <c r="J342" i="1" s="1"/>
  <c r="K342" i="1" s="1"/>
  <c r="M342" i="1"/>
  <c r="G342" i="1"/>
  <c r="H342" i="1" s="1"/>
  <c r="O341" i="1"/>
  <c r="N341" i="1"/>
  <c r="Q341" i="1" s="1"/>
  <c r="M341" i="1"/>
  <c r="G341" i="1"/>
  <c r="H341" i="1" s="1"/>
  <c r="P340" i="1"/>
  <c r="O340" i="1"/>
  <c r="N340" i="1"/>
  <c r="Q340" i="1" s="1"/>
  <c r="M340" i="1"/>
  <c r="J340" i="1"/>
  <c r="K340" i="1" s="1"/>
  <c r="H340" i="1"/>
  <c r="G340" i="1"/>
  <c r="P339" i="1"/>
  <c r="O339" i="1"/>
  <c r="N339" i="1"/>
  <c r="Q339" i="1" s="1"/>
  <c r="M339" i="1"/>
  <c r="J339" i="1"/>
  <c r="K339" i="1" s="1"/>
  <c r="G339" i="1"/>
  <c r="H339" i="1" s="1"/>
  <c r="Q338" i="1"/>
  <c r="O338" i="1"/>
  <c r="N338" i="1"/>
  <c r="P338" i="1" s="1"/>
  <c r="M338" i="1"/>
  <c r="K338" i="1"/>
  <c r="J338" i="1"/>
  <c r="G338" i="1"/>
  <c r="H338" i="1" s="1"/>
  <c r="P337" i="1"/>
  <c r="O337" i="1"/>
  <c r="N337" i="1"/>
  <c r="Q337" i="1" s="1"/>
  <c r="M337" i="1"/>
  <c r="J337" i="1"/>
  <c r="K337" i="1" s="1"/>
  <c r="H337" i="1"/>
  <c r="G337" i="1"/>
  <c r="O336" i="1"/>
  <c r="N336" i="1"/>
  <c r="Q336" i="1" s="1"/>
  <c r="M336" i="1"/>
  <c r="J336" i="1"/>
  <c r="K336" i="1" s="1"/>
  <c r="G336" i="1"/>
  <c r="H336" i="1" s="1"/>
  <c r="O335" i="1"/>
  <c r="N335" i="1"/>
  <c r="J335" i="1" s="1"/>
  <c r="K335" i="1" s="1"/>
  <c r="M335" i="1"/>
  <c r="H335" i="1"/>
  <c r="G335" i="1"/>
  <c r="P334" i="1"/>
  <c r="O334" i="1"/>
  <c r="N334" i="1"/>
  <c r="J334" i="1" s="1"/>
  <c r="K334" i="1" s="1"/>
  <c r="M334" i="1"/>
  <c r="G334" i="1"/>
  <c r="H334" i="1" s="1"/>
  <c r="O333" i="1"/>
  <c r="N333" i="1"/>
  <c r="Q333" i="1" s="1"/>
  <c r="M333" i="1"/>
  <c r="G333" i="1"/>
  <c r="H333" i="1" s="1"/>
  <c r="Q332" i="1"/>
  <c r="P332" i="1"/>
  <c r="O332" i="1"/>
  <c r="N332" i="1"/>
  <c r="M332" i="1"/>
  <c r="J332" i="1"/>
  <c r="K332" i="1" s="1"/>
  <c r="H332" i="1"/>
  <c r="G332" i="1"/>
  <c r="Q331" i="1"/>
  <c r="P331" i="1"/>
  <c r="O331" i="1"/>
  <c r="N331" i="1"/>
  <c r="M331" i="1"/>
  <c r="J331" i="1"/>
  <c r="K331" i="1" s="1"/>
  <c r="G331" i="1"/>
  <c r="H331" i="1" s="1"/>
  <c r="Q330" i="1"/>
  <c r="O330" i="1"/>
  <c r="N330" i="1"/>
  <c r="P330" i="1" s="1"/>
  <c r="M330" i="1"/>
  <c r="K330" i="1"/>
  <c r="J330" i="1"/>
  <c r="G330" i="1"/>
  <c r="H330" i="1" s="1"/>
  <c r="P329" i="1"/>
  <c r="O329" i="1"/>
  <c r="N329" i="1"/>
  <c r="Q329" i="1" s="1"/>
  <c r="M329" i="1"/>
  <c r="J329" i="1"/>
  <c r="K329" i="1" s="1"/>
  <c r="H329" i="1"/>
  <c r="G329" i="1"/>
  <c r="O328" i="1"/>
  <c r="N328" i="1"/>
  <c r="Q328" i="1" s="1"/>
  <c r="M328" i="1"/>
  <c r="J328" i="1"/>
  <c r="K328" i="1" s="1"/>
  <c r="G328" i="1"/>
  <c r="H328" i="1" s="1"/>
  <c r="O327" i="1"/>
  <c r="N327" i="1"/>
  <c r="J327" i="1" s="1"/>
  <c r="K327" i="1" s="1"/>
  <c r="M327" i="1"/>
  <c r="H327" i="1"/>
  <c r="G327" i="1"/>
  <c r="P326" i="1"/>
  <c r="O326" i="1"/>
  <c r="N326" i="1"/>
  <c r="J326" i="1" s="1"/>
  <c r="K326" i="1" s="1"/>
  <c r="M326" i="1"/>
  <c r="G326" i="1"/>
  <c r="H326" i="1" s="1"/>
  <c r="O325" i="1"/>
  <c r="N325" i="1"/>
  <c r="Q325" i="1" s="1"/>
  <c r="M325" i="1"/>
  <c r="G325" i="1"/>
  <c r="H325" i="1" s="1"/>
  <c r="Q324" i="1"/>
  <c r="P324" i="1"/>
  <c r="O324" i="1"/>
  <c r="N324" i="1"/>
  <c r="M324" i="1"/>
  <c r="J324" i="1"/>
  <c r="K324" i="1" s="1"/>
  <c r="H324" i="1"/>
  <c r="G324" i="1"/>
  <c r="P323" i="1"/>
  <c r="O323" i="1"/>
  <c r="N323" i="1"/>
  <c r="Q323" i="1" s="1"/>
  <c r="M323" i="1"/>
  <c r="J323" i="1"/>
  <c r="K323" i="1" s="1"/>
  <c r="G323" i="1"/>
  <c r="H323" i="1" s="1"/>
  <c r="Q322" i="1"/>
  <c r="O322" i="1"/>
  <c r="N322" i="1"/>
  <c r="J322" i="1" s="1"/>
  <c r="K322" i="1" s="1"/>
  <c r="M322" i="1"/>
  <c r="G322" i="1"/>
  <c r="H322" i="1" s="1"/>
  <c r="P321" i="1"/>
  <c r="O321" i="1"/>
  <c r="N321" i="1"/>
  <c r="Q321" i="1" s="1"/>
  <c r="M321" i="1"/>
  <c r="J321" i="1"/>
  <c r="K321" i="1" s="1"/>
  <c r="H321" i="1"/>
  <c r="G321" i="1"/>
  <c r="O320" i="1"/>
  <c r="N320" i="1"/>
  <c r="J320" i="1" s="1"/>
  <c r="K320" i="1" s="1"/>
  <c r="M320" i="1"/>
  <c r="G320" i="1"/>
  <c r="H320" i="1" s="1"/>
  <c r="O319" i="1"/>
  <c r="N319" i="1"/>
  <c r="J319" i="1" s="1"/>
  <c r="K319" i="1" s="1"/>
  <c r="M319" i="1"/>
  <c r="H319" i="1"/>
  <c r="G319" i="1"/>
  <c r="P318" i="1"/>
  <c r="O318" i="1"/>
  <c r="N318" i="1"/>
  <c r="J318" i="1" s="1"/>
  <c r="K318" i="1" s="1"/>
  <c r="M318" i="1"/>
  <c r="G318" i="1"/>
  <c r="H318" i="1" s="1"/>
  <c r="Q317" i="1"/>
  <c r="O317" i="1"/>
  <c r="N317" i="1"/>
  <c r="P317" i="1" s="1"/>
  <c r="M317" i="1"/>
  <c r="G317" i="1"/>
  <c r="H317" i="1" s="1"/>
  <c r="Q316" i="1"/>
  <c r="P316" i="1"/>
  <c r="O316" i="1"/>
  <c r="N316" i="1"/>
  <c r="M316" i="1"/>
  <c r="J316" i="1"/>
  <c r="K316" i="1" s="1"/>
  <c r="H316" i="1"/>
  <c r="G316" i="1"/>
  <c r="Q315" i="1"/>
  <c r="P315" i="1"/>
  <c r="O315" i="1"/>
  <c r="N315" i="1"/>
  <c r="M315" i="1"/>
  <c r="J315" i="1"/>
  <c r="K315" i="1" s="1"/>
  <c r="G315" i="1"/>
  <c r="H315" i="1" s="1"/>
  <c r="Q314" i="1"/>
  <c r="O314" i="1"/>
  <c r="N314" i="1"/>
  <c r="P314" i="1" s="1"/>
  <c r="M314" i="1"/>
  <c r="K314" i="1"/>
  <c r="J314" i="1"/>
  <c r="G314" i="1"/>
  <c r="H314" i="1" s="1"/>
  <c r="P313" i="1"/>
  <c r="O313" i="1"/>
  <c r="N313" i="1"/>
  <c r="Q313" i="1" s="1"/>
  <c r="M313" i="1"/>
  <c r="J313" i="1"/>
  <c r="K313" i="1" s="1"/>
  <c r="H313" i="1"/>
  <c r="G313" i="1"/>
  <c r="O312" i="1"/>
  <c r="N312" i="1"/>
  <c r="J312" i="1" s="1"/>
  <c r="K312" i="1" s="1"/>
  <c r="M312" i="1"/>
  <c r="G312" i="1"/>
  <c r="H312" i="1" s="1"/>
  <c r="O311" i="1"/>
  <c r="N311" i="1"/>
  <c r="J311" i="1" s="1"/>
  <c r="K311" i="1" s="1"/>
  <c r="M311" i="1"/>
  <c r="H311" i="1"/>
  <c r="G311" i="1"/>
  <c r="P310" i="1"/>
  <c r="O310" i="1"/>
  <c r="N310" i="1"/>
  <c r="J310" i="1" s="1"/>
  <c r="K310" i="1" s="1"/>
  <c r="M310" i="1"/>
  <c r="G310" i="1"/>
  <c r="H310" i="1" s="1"/>
  <c r="Q309" i="1"/>
  <c r="O309" i="1"/>
  <c r="N309" i="1"/>
  <c r="P309" i="1" s="1"/>
  <c r="M309" i="1"/>
  <c r="G309" i="1"/>
  <c r="H309" i="1" s="1"/>
  <c r="C309" i="1"/>
  <c r="Q308" i="1"/>
  <c r="P308" i="1"/>
  <c r="O308" i="1"/>
  <c r="N308" i="1"/>
  <c r="M308" i="1"/>
  <c r="J308" i="1"/>
  <c r="K308" i="1" s="1"/>
  <c r="G308" i="1"/>
  <c r="H308" i="1" s="1"/>
  <c r="C308" i="1"/>
  <c r="P307" i="1"/>
  <c r="O307" i="1"/>
  <c r="N307" i="1"/>
  <c r="Q307" i="1" s="1"/>
  <c r="M307" i="1"/>
  <c r="J307" i="1"/>
  <c r="K307" i="1" s="1"/>
  <c r="H307" i="1"/>
  <c r="G307" i="1"/>
  <c r="C307" i="1"/>
  <c r="O306" i="1"/>
  <c r="N306" i="1"/>
  <c r="J306" i="1" s="1"/>
  <c r="K306" i="1" s="1"/>
  <c r="M306" i="1"/>
  <c r="H306" i="1"/>
  <c r="G306" i="1"/>
  <c r="C306" i="1"/>
  <c r="O305" i="1"/>
  <c r="N305" i="1"/>
  <c r="M305" i="1"/>
  <c r="G305" i="1"/>
  <c r="H305" i="1" s="1"/>
  <c r="C305" i="1"/>
  <c r="Q304" i="1"/>
  <c r="P304" i="1"/>
  <c r="O304" i="1"/>
  <c r="N304" i="1"/>
  <c r="M304" i="1"/>
  <c r="J304" i="1"/>
  <c r="K304" i="1" s="1"/>
  <c r="G304" i="1"/>
  <c r="H304" i="1" s="1"/>
  <c r="C304" i="1"/>
  <c r="P303" i="1"/>
  <c r="O303" i="1"/>
  <c r="N303" i="1"/>
  <c r="Q303" i="1" s="1"/>
  <c r="M303" i="1"/>
  <c r="J303" i="1"/>
  <c r="K303" i="1" s="1"/>
  <c r="H303" i="1"/>
  <c r="G303" i="1"/>
  <c r="C303" i="1"/>
  <c r="O302" i="1"/>
  <c r="N302" i="1"/>
  <c r="J302" i="1" s="1"/>
  <c r="K302" i="1" s="1"/>
  <c r="M302" i="1"/>
  <c r="H302" i="1"/>
  <c r="G302" i="1"/>
  <c r="C302" i="1"/>
  <c r="O301" i="1"/>
  <c r="N301" i="1"/>
  <c r="M301" i="1"/>
  <c r="G301" i="1"/>
  <c r="H301" i="1" s="1"/>
  <c r="C301" i="1"/>
  <c r="Q300" i="1"/>
  <c r="P300" i="1"/>
  <c r="O300" i="1"/>
  <c r="N300" i="1"/>
  <c r="M300" i="1"/>
  <c r="J300" i="1"/>
  <c r="K300" i="1" s="1"/>
  <c r="G300" i="1"/>
  <c r="H300" i="1" s="1"/>
  <c r="C300" i="1"/>
  <c r="P299" i="1"/>
  <c r="O299" i="1"/>
  <c r="N299" i="1"/>
  <c r="Q299" i="1" s="1"/>
  <c r="M299" i="1"/>
  <c r="J299" i="1"/>
  <c r="K299" i="1" s="1"/>
  <c r="H299" i="1"/>
  <c r="G299" i="1"/>
  <c r="C299" i="1"/>
  <c r="O298" i="1"/>
  <c r="N298" i="1"/>
  <c r="J298" i="1" s="1"/>
  <c r="K298" i="1" s="1"/>
  <c r="M298" i="1"/>
  <c r="H298" i="1"/>
  <c r="G298" i="1"/>
  <c r="C298" i="1"/>
  <c r="Q297" i="1"/>
  <c r="O297" i="1"/>
  <c r="N297" i="1"/>
  <c r="M297" i="1"/>
  <c r="G297" i="1"/>
  <c r="H297" i="1" s="1"/>
  <c r="C297" i="1"/>
  <c r="Q296" i="1"/>
  <c r="P296" i="1"/>
  <c r="O296" i="1"/>
  <c r="N296" i="1"/>
  <c r="M296" i="1"/>
  <c r="J296" i="1"/>
  <c r="K296" i="1" s="1"/>
  <c r="G296" i="1"/>
  <c r="H296" i="1" s="1"/>
  <c r="C296" i="1"/>
  <c r="P295" i="1"/>
  <c r="O295" i="1"/>
  <c r="N295" i="1"/>
  <c r="Q295" i="1" s="1"/>
  <c r="M295" i="1"/>
  <c r="J295" i="1"/>
  <c r="K295" i="1" s="1"/>
  <c r="H295" i="1"/>
  <c r="G295" i="1"/>
  <c r="C295" i="1"/>
  <c r="O294" i="1"/>
  <c r="N294" i="1"/>
  <c r="J294" i="1" s="1"/>
  <c r="K294" i="1" s="1"/>
  <c r="M294" i="1"/>
  <c r="H294" i="1"/>
  <c r="G294" i="1"/>
  <c r="C294" i="1"/>
  <c r="Q293" i="1"/>
  <c r="O293" i="1"/>
  <c r="N293" i="1"/>
  <c r="M293" i="1"/>
  <c r="G293" i="1"/>
  <c r="H293" i="1" s="1"/>
  <c r="C293" i="1"/>
  <c r="Q292" i="1"/>
  <c r="P292" i="1"/>
  <c r="O292" i="1"/>
  <c r="N292" i="1"/>
  <c r="M292" i="1"/>
  <c r="J292" i="1"/>
  <c r="K292" i="1" s="1"/>
  <c r="G292" i="1"/>
  <c r="H292" i="1" s="1"/>
  <c r="C292" i="1"/>
  <c r="P291" i="1"/>
  <c r="O291" i="1"/>
  <c r="N291" i="1"/>
  <c r="Q291" i="1" s="1"/>
  <c r="M291" i="1"/>
  <c r="J291" i="1"/>
  <c r="K291" i="1" s="1"/>
  <c r="H291" i="1"/>
  <c r="G291" i="1"/>
  <c r="C291" i="1"/>
  <c r="O290" i="1"/>
  <c r="N290" i="1"/>
  <c r="J290" i="1" s="1"/>
  <c r="K290" i="1" s="1"/>
  <c r="M290" i="1"/>
  <c r="H290" i="1"/>
  <c r="G290" i="1"/>
  <c r="C290" i="1"/>
  <c r="O289" i="1"/>
  <c r="N289" i="1"/>
  <c r="M289" i="1"/>
  <c r="G289" i="1"/>
  <c r="H289" i="1" s="1"/>
  <c r="C289" i="1"/>
  <c r="Q288" i="1"/>
  <c r="P288" i="1"/>
  <c r="O288" i="1"/>
  <c r="N288" i="1"/>
  <c r="M288" i="1"/>
  <c r="J288" i="1"/>
  <c r="K288" i="1" s="1"/>
  <c r="G288" i="1"/>
  <c r="H288" i="1" s="1"/>
  <c r="C288" i="1"/>
  <c r="P287" i="1"/>
  <c r="O287" i="1"/>
  <c r="N287" i="1"/>
  <c r="Q287" i="1" s="1"/>
  <c r="M287" i="1"/>
  <c r="J287" i="1"/>
  <c r="K287" i="1" s="1"/>
  <c r="H287" i="1"/>
  <c r="G287" i="1"/>
  <c r="C287" i="1"/>
  <c r="O286" i="1"/>
  <c r="N286" i="1"/>
  <c r="J286" i="1" s="1"/>
  <c r="M286" i="1"/>
  <c r="K286" i="1"/>
  <c r="H286" i="1"/>
  <c r="G286" i="1"/>
  <c r="C286" i="1"/>
  <c r="Q285" i="1"/>
  <c r="O285" i="1"/>
  <c r="N285" i="1"/>
  <c r="M285" i="1"/>
  <c r="G285" i="1"/>
  <c r="H285" i="1" s="1"/>
  <c r="C285" i="1"/>
  <c r="Q284" i="1"/>
  <c r="P284" i="1"/>
  <c r="O284" i="1"/>
  <c r="N284" i="1"/>
  <c r="M284" i="1"/>
  <c r="J284" i="1"/>
  <c r="K284" i="1" s="1"/>
  <c r="G284" i="1"/>
  <c r="H284" i="1" s="1"/>
  <c r="C284" i="1"/>
  <c r="P283" i="1"/>
  <c r="O283" i="1"/>
  <c r="N283" i="1"/>
  <c r="Q283" i="1" s="1"/>
  <c r="M283" i="1"/>
  <c r="J283" i="1"/>
  <c r="K283" i="1" s="1"/>
  <c r="H283" i="1"/>
  <c r="G283" i="1"/>
  <c r="C283" i="1"/>
  <c r="O282" i="1"/>
  <c r="N282" i="1"/>
  <c r="J282" i="1" s="1"/>
  <c r="M282" i="1"/>
  <c r="K282" i="1"/>
  <c r="H282" i="1"/>
  <c r="G282" i="1"/>
  <c r="C282" i="1"/>
  <c r="Q281" i="1"/>
  <c r="O281" i="1"/>
  <c r="N281" i="1"/>
  <c r="M281" i="1"/>
  <c r="G281" i="1"/>
  <c r="H281" i="1" s="1"/>
  <c r="C281" i="1"/>
  <c r="Q280" i="1"/>
  <c r="P280" i="1"/>
  <c r="O280" i="1"/>
  <c r="N280" i="1"/>
  <c r="M280" i="1"/>
  <c r="J280" i="1"/>
  <c r="K280" i="1" s="1"/>
  <c r="G280" i="1"/>
  <c r="H280" i="1" s="1"/>
  <c r="C280" i="1"/>
  <c r="P279" i="1"/>
  <c r="O279" i="1"/>
  <c r="N279" i="1"/>
  <c r="Q279" i="1" s="1"/>
  <c r="M279" i="1"/>
  <c r="J279" i="1"/>
  <c r="K279" i="1" s="1"/>
  <c r="H279" i="1"/>
  <c r="G279" i="1"/>
  <c r="C279" i="1"/>
  <c r="O278" i="1"/>
  <c r="N278" i="1"/>
  <c r="J278" i="1" s="1"/>
  <c r="M278" i="1"/>
  <c r="K278" i="1"/>
  <c r="H278" i="1"/>
  <c r="G278" i="1"/>
  <c r="C278" i="1"/>
  <c r="O277" i="1"/>
  <c r="N277" i="1"/>
  <c r="M277" i="1"/>
  <c r="G277" i="1"/>
  <c r="H277" i="1" s="1"/>
  <c r="C277" i="1"/>
  <c r="Q276" i="1"/>
  <c r="P276" i="1"/>
  <c r="O276" i="1"/>
  <c r="N276" i="1"/>
  <c r="M276" i="1"/>
  <c r="J276" i="1"/>
  <c r="K276" i="1" s="1"/>
  <c r="G276" i="1"/>
  <c r="H276" i="1" s="1"/>
  <c r="C276" i="1"/>
  <c r="P275" i="1"/>
  <c r="O275" i="1"/>
  <c r="N275" i="1"/>
  <c r="Q275" i="1" s="1"/>
  <c r="M275" i="1"/>
  <c r="J275" i="1"/>
  <c r="K275" i="1" s="1"/>
  <c r="H275" i="1"/>
  <c r="G275" i="1"/>
  <c r="C275" i="1"/>
  <c r="O274" i="1"/>
  <c r="N274" i="1"/>
  <c r="J274" i="1" s="1"/>
  <c r="K274" i="1" s="1"/>
  <c r="M274" i="1"/>
  <c r="H274" i="1"/>
  <c r="G274" i="1"/>
  <c r="C274" i="1"/>
  <c r="Q273" i="1"/>
  <c r="P273" i="1"/>
  <c r="O273" i="1"/>
  <c r="N273" i="1"/>
  <c r="J273" i="1" s="1"/>
  <c r="K273" i="1" s="1"/>
  <c r="M273" i="1"/>
  <c r="G273" i="1"/>
  <c r="H273" i="1" s="1"/>
  <c r="C273" i="1"/>
  <c r="Q272" i="1"/>
  <c r="P272" i="1"/>
  <c r="O272" i="1"/>
  <c r="N272" i="1"/>
  <c r="M272" i="1"/>
  <c r="J272" i="1"/>
  <c r="K272" i="1" s="1"/>
  <c r="G272" i="1"/>
  <c r="H272" i="1" s="1"/>
  <c r="C272" i="1"/>
  <c r="P271" i="1"/>
  <c r="O271" i="1"/>
  <c r="N271" i="1"/>
  <c r="Q271" i="1" s="1"/>
  <c r="M271" i="1"/>
  <c r="K271" i="1"/>
  <c r="J271" i="1"/>
  <c r="H271" i="1"/>
  <c r="G271" i="1"/>
  <c r="C271" i="1"/>
  <c r="O270" i="1"/>
  <c r="N270" i="1"/>
  <c r="M270" i="1"/>
  <c r="H270" i="1"/>
  <c r="G270" i="1"/>
  <c r="C270" i="1"/>
  <c r="Q269" i="1"/>
  <c r="P269" i="1"/>
  <c r="O269" i="1"/>
  <c r="N269" i="1"/>
  <c r="J269" i="1" s="1"/>
  <c r="K269" i="1" s="1"/>
  <c r="M269" i="1"/>
  <c r="G269" i="1"/>
  <c r="H269" i="1" s="1"/>
  <c r="C269" i="1"/>
  <c r="Q268" i="1"/>
  <c r="P268" i="1"/>
  <c r="O268" i="1"/>
  <c r="N268" i="1"/>
  <c r="M268" i="1"/>
  <c r="J268" i="1"/>
  <c r="K268" i="1" s="1"/>
  <c r="G268" i="1"/>
  <c r="H268" i="1" s="1"/>
  <c r="C268" i="1"/>
  <c r="P267" i="1"/>
  <c r="O267" i="1"/>
  <c r="N267" i="1"/>
  <c r="Q267" i="1" s="1"/>
  <c r="M267" i="1"/>
  <c r="J267" i="1"/>
  <c r="K267" i="1" s="1"/>
  <c r="H267" i="1"/>
  <c r="G267" i="1"/>
  <c r="C267" i="1"/>
  <c r="O266" i="1"/>
  <c r="N266" i="1"/>
  <c r="M266" i="1"/>
  <c r="H266" i="1"/>
  <c r="G266" i="1"/>
  <c r="C266" i="1"/>
  <c r="P265" i="1"/>
  <c r="O265" i="1"/>
  <c r="N265" i="1"/>
  <c r="J265" i="1" s="1"/>
  <c r="K265" i="1" s="1"/>
  <c r="M265" i="1"/>
  <c r="G265" i="1"/>
  <c r="H265" i="1" s="1"/>
  <c r="C265" i="1"/>
  <c r="Q264" i="1"/>
  <c r="P264" i="1"/>
  <c r="O264" i="1"/>
  <c r="N264" i="1"/>
  <c r="M264" i="1"/>
  <c r="J264" i="1"/>
  <c r="K264" i="1" s="1"/>
  <c r="G264" i="1"/>
  <c r="H264" i="1" s="1"/>
  <c r="C264" i="1"/>
  <c r="P263" i="1"/>
  <c r="O263" i="1"/>
  <c r="N263" i="1"/>
  <c r="Q263" i="1" s="1"/>
  <c r="M263" i="1"/>
  <c r="J263" i="1"/>
  <c r="K263" i="1" s="1"/>
  <c r="H263" i="1"/>
  <c r="G263" i="1"/>
  <c r="C263" i="1"/>
  <c r="O262" i="1"/>
  <c r="N262" i="1"/>
  <c r="M262" i="1"/>
  <c r="H262" i="1"/>
  <c r="G262" i="1"/>
  <c r="C262" i="1"/>
  <c r="O261" i="1"/>
  <c r="N261" i="1"/>
  <c r="J261" i="1" s="1"/>
  <c r="K261" i="1" s="1"/>
  <c r="M261" i="1"/>
  <c r="G261" i="1"/>
  <c r="H261" i="1" s="1"/>
  <c r="C261" i="1"/>
  <c r="Q260" i="1"/>
  <c r="P260" i="1"/>
  <c r="O260" i="1"/>
  <c r="N260" i="1"/>
  <c r="M260" i="1"/>
  <c r="J260" i="1"/>
  <c r="K260" i="1" s="1"/>
  <c r="G260" i="1"/>
  <c r="H260" i="1" s="1"/>
  <c r="C260" i="1"/>
  <c r="P259" i="1"/>
  <c r="O259" i="1"/>
  <c r="N259" i="1"/>
  <c r="Q259" i="1" s="1"/>
  <c r="M259" i="1"/>
  <c r="J259" i="1"/>
  <c r="K259" i="1" s="1"/>
  <c r="H259" i="1"/>
  <c r="G259" i="1"/>
  <c r="C259" i="1"/>
  <c r="O258" i="1"/>
  <c r="N258" i="1"/>
  <c r="M258" i="1"/>
  <c r="H258" i="1"/>
  <c r="G258" i="1"/>
  <c r="C258" i="1"/>
  <c r="O257" i="1"/>
  <c r="N257" i="1"/>
  <c r="J257" i="1" s="1"/>
  <c r="K257" i="1" s="1"/>
  <c r="M257" i="1"/>
  <c r="G257" i="1"/>
  <c r="H257" i="1" s="1"/>
  <c r="C257" i="1"/>
  <c r="Q256" i="1"/>
  <c r="P256" i="1"/>
  <c r="O256" i="1"/>
  <c r="N256" i="1"/>
  <c r="M256" i="1"/>
  <c r="J256" i="1"/>
  <c r="K256" i="1" s="1"/>
  <c r="G256" i="1"/>
  <c r="H256" i="1" s="1"/>
  <c r="C256" i="1"/>
  <c r="P255" i="1"/>
  <c r="O255" i="1"/>
  <c r="N255" i="1"/>
  <c r="Q255" i="1" s="1"/>
  <c r="M255" i="1"/>
  <c r="J255" i="1"/>
  <c r="K255" i="1" s="1"/>
  <c r="H255" i="1"/>
  <c r="G255" i="1"/>
  <c r="C255" i="1"/>
  <c r="O254" i="1"/>
  <c r="N254" i="1"/>
  <c r="M254" i="1"/>
  <c r="H254" i="1"/>
  <c r="G254" i="1"/>
  <c r="C254" i="1"/>
  <c r="O253" i="1"/>
  <c r="N253" i="1"/>
  <c r="J253" i="1" s="1"/>
  <c r="K253" i="1" s="1"/>
  <c r="M253" i="1"/>
  <c r="H253" i="1"/>
  <c r="G253" i="1"/>
  <c r="C253" i="1"/>
  <c r="P252" i="1"/>
  <c r="O252" i="1"/>
  <c r="N252" i="1"/>
  <c r="Q252" i="1" s="1"/>
  <c r="M252" i="1"/>
  <c r="J252" i="1"/>
  <c r="K252" i="1" s="1"/>
  <c r="H252" i="1"/>
  <c r="G252" i="1"/>
  <c r="C252" i="1"/>
  <c r="P251" i="1"/>
  <c r="O251" i="1"/>
  <c r="N251" i="1"/>
  <c r="Q251" i="1" s="1"/>
  <c r="M251" i="1"/>
  <c r="H251" i="1"/>
  <c r="G251" i="1"/>
  <c r="C251" i="1"/>
  <c r="O250" i="1"/>
  <c r="N250" i="1"/>
  <c r="M250" i="1"/>
  <c r="H250" i="1"/>
  <c r="G250" i="1"/>
  <c r="C250" i="1"/>
  <c r="O249" i="1"/>
  <c r="N249" i="1"/>
  <c r="J249" i="1" s="1"/>
  <c r="K249" i="1" s="1"/>
  <c r="M249" i="1"/>
  <c r="H249" i="1"/>
  <c r="G249" i="1"/>
  <c r="C249" i="1"/>
  <c r="Q248" i="1"/>
  <c r="P248" i="1"/>
  <c r="O248" i="1"/>
  <c r="N248" i="1"/>
  <c r="M248" i="1"/>
  <c r="K248" i="1"/>
  <c r="J248" i="1"/>
  <c r="G248" i="1"/>
  <c r="H248" i="1" s="1"/>
  <c r="C248" i="1"/>
  <c r="P247" i="1"/>
  <c r="O247" i="1"/>
  <c r="N247" i="1"/>
  <c r="Q247" i="1" s="1"/>
  <c r="M247" i="1"/>
  <c r="K247" i="1"/>
  <c r="J247" i="1"/>
  <c r="H247" i="1"/>
  <c r="G247" i="1"/>
  <c r="C247" i="1"/>
  <c r="O246" i="1"/>
  <c r="N246" i="1"/>
  <c r="M246" i="1"/>
  <c r="H246" i="1"/>
  <c r="G246" i="1"/>
  <c r="C246" i="1"/>
  <c r="O245" i="1"/>
  <c r="N245" i="1"/>
  <c r="J245" i="1" s="1"/>
  <c r="K245" i="1" s="1"/>
  <c r="M245" i="1"/>
  <c r="G245" i="1"/>
  <c r="H245" i="1" s="1"/>
  <c r="C245" i="1"/>
  <c r="P244" i="1"/>
  <c r="O244" i="1"/>
  <c r="N244" i="1"/>
  <c r="Q244" i="1" s="1"/>
  <c r="M244" i="1"/>
  <c r="J244" i="1"/>
  <c r="K244" i="1" s="1"/>
  <c r="H244" i="1"/>
  <c r="G244" i="1"/>
  <c r="C244" i="1"/>
  <c r="P243" i="1"/>
  <c r="O243" i="1"/>
  <c r="N243" i="1"/>
  <c r="Q243" i="1" s="1"/>
  <c r="M243" i="1"/>
  <c r="H243" i="1"/>
  <c r="G243" i="1"/>
  <c r="Q242" i="1"/>
  <c r="O242" i="1"/>
  <c r="N242" i="1"/>
  <c r="P242" i="1" s="1"/>
  <c r="M242" i="1"/>
  <c r="G242" i="1"/>
  <c r="H242" i="1" s="1"/>
  <c r="C242" i="1"/>
  <c r="O241" i="1"/>
  <c r="N241" i="1"/>
  <c r="Q241" i="1" s="1"/>
  <c r="M241" i="1"/>
  <c r="H241" i="1"/>
  <c r="G241" i="1"/>
  <c r="C241" i="1"/>
  <c r="Q240" i="1"/>
  <c r="P240" i="1"/>
  <c r="O240" i="1"/>
  <c r="N240" i="1"/>
  <c r="M240" i="1"/>
  <c r="K240" i="1"/>
  <c r="J240" i="1"/>
  <c r="G240" i="1"/>
  <c r="H240" i="1" s="1"/>
  <c r="C240" i="1"/>
  <c r="Q239" i="1"/>
  <c r="O239" i="1"/>
  <c r="N239" i="1"/>
  <c r="J239" i="1" s="1"/>
  <c r="K239" i="1" s="1"/>
  <c r="M239" i="1"/>
  <c r="G239" i="1"/>
  <c r="H239" i="1" s="1"/>
  <c r="C239" i="1"/>
  <c r="P238" i="1"/>
  <c r="O238" i="1"/>
  <c r="N238" i="1"/>
  <c r="Q238" i="1" s="1"/>
  <c r="M238" i="1"/>
  <c r="J238" i="1"/>
  <c r="K238" i="1" s="1"/>
  <c r="H238" i="1"/>
  <c r="G238" i="1"/>
  <c r="C238" i="1"/>
  <c r="O237" i="1"/>
  <c r="N237" i="1"/>
  <c r="Q237" i="1" s="1"/>
  <c r="M237" i="1"/>
  <c r="H237" i="1"/>
  <c r="G237" i="1"/>
  <c r="C237" i="1"/>
  <c r="P236" i="1"/>
  <c r="O236" i="1"/>
  <c r="N236" i="1"/>
  <c r="Q236" i="1" s="1"/>
  <c r="M236" i="1"/>
  <c r="K236" i="1"/>
  <c r="J236" i="1"/>
  <c r="H236" i="1"/>
  <c r="G236" i="1"/>
  <c r="C236" i="1"/>
  <c r="O235" i="1"/>
  <c r="N235" i="1"/>
  <c r="J235" i="1" s="1"/>
  <c r="K235" i="1" s="1"/>
  <c r="M235" i="1"/>
  <c r="G235" i="1"/>
  <c r="H235" i="1" s="1"/>
  <c r="C235" i="1"/>
  <c r="P234" i="1"/>
  <c r="O234" i="1"/>
  <c r="N234" i="1"/>
  <c r="Q234" i="1" s="1"/>
  <c r="M234" i="1"/>
  <c r="J234" i="1"/>
  <c r="K234" i="1" s="1"/>
  <c r="H234" i="1"/>
  <c r="G234" i="1"/>
  <c r="Q233" i="1"/>
  <c r="P233" i="1"/>
  <c r="O233" i="1"/>
  <c r="N233" i="1"/>
  <c r="M233" i="1"/>
  <c r="K233" i="1"/>
  <c r="J233" i="1"/>
  <c r="G233" i="1"/>
  <c r="H233" i="1" s="1"/>
  <c r="O232" i="1"/>
  <c r="N232" i="1"/>
  <c r="Q232" i="1" s="1"/>
  <c r="M232" i="1"/>
  <c r="H232" i="1"/>
  <c r="G232" i="1"/>
  <c r="C232" i="1"/>
  <c r="P231" i="1"/>
  <c r="O231" i="1"/>
  <c r="N231" i="1"/>
  <c r="Q231" i="1" s="1"/>
  <c r="M231" i="1"/>
  <c r="K231" i="1"/>
  <c r="J231" i="1"/>
  <c r="H231" i="1"/>
  <c r="G231" i="1"/>
  <c r="C231" i="1"/>
  <c r="O230" i="1"/>
  <c r="N230" i="1"/>
  <c r="J230" i="1" s="1"/>
  <c r="K230" i="1" s="1"/>
  <c r="M230" i="1"/>
  <c r="G230" i="1"/>
  <c r="H230" i="1" s="1"/>
  <c r="C230" i="1"/>
  <c r="P229" i="1"/>
  <c r="O229" i="1"/>
  <c r="N229" i="1"/>
  <c r="Q229" i="1" s="1"/>
  <c r="M229" i="1"/>
  <c r="J229" i="1"/>
  <c r="K229" i="1" s="1"/>
  <c r="H229" i="1"/>
  <c r="G229" i="1"/>
  <c r="C229" i="1"/>
  <c r="O228" i="1"/>
  <c r="N228" i="1"/>
  <c r="Q228" i="1" s="1"/>
  <c r="M228" i="1"/>
  <c r="H228" i="1"/>
  <c r="G228" i="1"/>
  <c r="C228" i="1"/>
  <c r="P227" i="1"/>
  <c r="O227" i="1"/>
  <c r="N227" i="1"/>
  <c r="Q227" i="1" s="1"/>
  <c r="M227" i="1"/>
  <c r="K227" i="1"/>
  <c r="J227" i="1"/>
  <c r="H227" i="1"/>
  <c r="G227" i="1"/>
  <c r="C227" i="1"/>
  <c r="O226" i="1"/>
  <c r="N226" i="1"/>
  <c r="J226" i="1" s="1"/>
  <c r="K226" i="1" s="1"/>
  <c r="M226" i="1"/>
  <c r="H226" i="1"/>
  <c r="G226" i="1"/>
  <c r="C226" i="1"/>
  <c r="P225" i="1"/>
  <c r="O225" i="1"/>
  <c r="N225" i="1"/>
  <c r="Q225" i="1" s="1"/>
  <c r="M225" i="1"/>
  <c r="J225" i="1"/>
  <c r="K225" i="1" s="1"/>
  <c r="H225" i="1"/>
  <c r="G225" i="1"/>
  <c r="Q224" i="1"/>
  <c r="P224" i="1"/>
  <c r="O224" i="1"/>
  <c r="N224" i="1"/>
  <c r="M224" i="1"/>
  <c r="K224" i="1"/>
  <c r="J224" i="1"/>
  <c r="G224" i="1"/>
  <c r="H224" i="1" s="1"/>
  <c r="C224" i="1"/>
  <c r="O223" i="1"/>
  <c r="N223" i="1"/>
  <c r="Q223" i="1" s="1"/>
  <c r="M223" i="1"/>
  <c r="J223" i="1"/>
  <c r="K223" i="1" s="1"/>
  <c r="H223" i="1"/>
  <c r="G223" i="1"/>
  <c r="C223" i="1"/>
  <c r="Q222" i="1"/>
  <c r="P222" i="1"/>
  <c r="O222" i="1"/>
  <c r="N222" i="1"/>
  <c r="M222" i="1"/>
  <c r="K222" i="1"/>
  <c r="J222" i="1"/>
  <c r="G222" i="1"/>
  <c r="H222" i="1" s="1"/>
  <c r="C222" i="1"/>
  <c r="O221" i="1"/>
  <c r="N221" i="1"/>
  <c r="Q221" i="1" s="1"/>
  <c r="M221" i="1"/>
  <c r="J221" i="1"/>
  <c r="K221" i="1" s="1"/>
  <c r="H221" i="1"/>
  <c r="G221" i="1"/>
  <c r="C221" i="1"/>
  <c r="Q220" i="1"/>
  <c r="P220" i="1"/>
  <c r="O220" i="1"/>
  <c r="N220" i="1"/>
  <c r="M220" i="1"/>
  <c r="K220" i="1"/>
  <c r="J220" i="1"/>
  <c r="G220" i="1"/>
  <c r="H220" i="1" s="1"/>
  <c r="C220" i="1"/>
  <c r="O219" i="1"/>
  <c r="N219" i="1"/>
  <c r="Q219" i="1" s="1"/>
  <c r="M219" i="1"/>
  <c r="J219" i="1"/>
  <c r="K219" i="1" s="1"/>
  <c r="H219" i="1"/>
  <c r="G219" i="1"/>
  <c r="C219" i="1"/>
  <c r="Q218" i="1"/>
  <c r="P218" i="1"/>
  <c r="O218" i="1"/>
  <c r="N218" i="1"/>
  <c r="M218" i="1"/>
  <c r="K218" i="1"/>
  <c r="J218" i="1"/>
  <c r="G218" i="1"/>
  <c r="H218" i="1" s="1"/>
  <c r="O217" i="1"/>
  <c r="N217" i="1"/>
  <c r="J217" i="1" s="1"/>
  <c r="K217" i="1" s="1"/>
  <c r="M217" i="1"/>
  <c r="G217" i="1"/>
  <c r="H217" i="1" s="1"/>
  <c r="O216" i="1"/>
  <c r="N216" i="1"/>
  <c r="Q216" i="1" s="1"/>
  <c r="M216" i="1"/>
  <c r="J216" i="1"/>
  <c r="K216" i="1" s="1"/>
  <c r="H216" i="1"/>
  <c r="G216" i="1"/>
  <c r="C216" i="1"/>
  <c r="Q215" i="1"/>
  <c r="P215" i="1"/>
  <c r="O215" i="1"/>
  <c r="N215" i="1"/>
  <c r="J215" i="1" s="1"/>
  <c r="K215" i="1" s="1"/>
  <c r="M215" i="1"/>
  <c r="G215" i="1"/>
  <c r="H215" i="1" s="1"/>
  <c r="C215" i="1"/>
  <c r="O214" i="1"/>
  <c r="N214" i="1"/>
  <c r="Q214" i="1" s="1"/>
  <c r="M214" i="1"/>
  <c r="J214" i="1"/>
  <c r="K214" i="1" s="1"/>
  <c r="H214" i="1"/>
  <c r="G214" i="1"/>
  <c r="P213" i="1"/>
  <c r="O213" i="1"/>
  <c r="N213" i="1"/>
  <c r="Q213" i="1" s="1"/>
  <c r="M213" i="1"/>
  <c r="K213" i="1"/>
  <c r="J213" i="1"/>
  <c r="G213" i="1"/>
  <c r="H213" i="1" s="1"/>
  <c r="Q212" i="1"/>
  <c r="P212" i="1"/>
  <c r="O212" i="1"/>
  <c r="N212" i="1"/>
  <c r="M212" i="1"/>
  <c r="K212" i="1"/>
  <c r="J212" i="1"/>
  <c r="G212" i="1"/>
  <c r="H212" i="1" s="1"/>
  <c r="C212" i="1"/>
  <c r="O211" i="1"/>
  <c r="N211" i="1"/>
  <c r="Q211" i="1" s="1"/>
  <c r="M211" i="1"/>
  <c r="J211" i="1"/>
  <c r="K211" i="1" s="1"/>
  <c r="H211" i="1"/>
  <c r="G211" i="1"/>
  <c r="C211" i="1"/>
  <c r="Q210" i="1"/>
  <c r="P210" i="1"/>
  <c r="O210" i="1"/>
  <c r="N210" i="1"/>
  <c r="M210" i="1"/>
  <c r="K210" i="1"/>
  <c r="J210" i="1"/>
  <c r="G210" i="1"/>
  <c r="H210" i="1" s="1"/>
  <c r="C210" i="1"/>
  <c r="O209" i="1"/>
  <c r="N209" i="1"/>
  <c r="Q209" i="1" s="1"/>
  <c r="M209" i="1"/>
  <c r="J209" i="1"/>
  <c r="K209" i="1" s="1"/>
  <c r="H209" i="1"/>
  <c r="G209" i="1"/>
  <c r="C209" i="1"/>
  <c r="Q208" i="1"/>
  <c r="P208" i="1"/>
  <c r="O208" i="1"/>
  <c r="N208" i="1"/>
  <c r="M208" i="1"/>
  <c r="K208" i="1"/>
  <c r="J208" i="1"/>
  <c r="G208" i="1"/>
  <c r="H208" i="1" s="1"/>
  <c r="C208" i="1"/>
  <c r="O207" i="1"/>
  <c r="N207" i="1"/>
  <c r="Q207" i="1" s="1"/>
  <c r="M207" i="1"/>
  <c r="J207" i="1"/>
  <c r="K207" i="1" s="1"/>
  <c r="H207" i="1"/>
  <c r="G207" i="1"/>
  <c r="P206" i="1"/>
  <c r="O206" i="1"/>
  <c r="N206" i="1"/>
  <c r="Q206" i="1" s="1"/>
  <c r="M206" i="1"/>
  <c r="J206" i="1"/>
  <c r="K206" i="1" s="1"/>
  <c r="H206" i="1"/>
  <c r="G206" i="1"/>
  <c r="Q205" i="1"/>
  <c r="P205" i="1"/>
  <c r="O205" i="1"/>
  <c r="N205" i="1"/>
  <c r="J205" i="1" s="1"/>
  <c r="K205" i="1" s="1"/>
  <c r="M205" i="1"/>
  <c r="G205" i="1"/>
  <c r="H205" i="1" s="1"/>
  <c r="O204" i="1"/>
  <c r="N204" i="1"/>
  <c r="Q204" i="1" s="1"/>
  <c r="M204" i="1"/>
  <c r="H204" i="1"/>
  <c r="G204" i="1"/>
  <c r="O203" i="1"/>
  <c r="N203" i="1"/>
  <c r="Q203" i="1" s="1"/>
  <c r="M203" i="1"/>
  <c r="J203" i="1"/>
  <c r="K203" i="1" s="1"/>
  <c r="H203" i="1"/>
  <c r="G203" i="1"/>
  <c r="P202" i="1"/>
  <c r="O202" i="1"/>
  <c r="N202" i="1"/>
  <c r="Q202" i="1" s="1"/>
  <c r="M202" i="1"/>
  <c r="K202" i="1"/>
  <c r="J202" i="1"/>
  <c r="G202" i="1"/>
  <c r="H202" i="1" s="1"/>
  <c r="Q201" i="1"/>
  <c r="P201" i="1"/>
  <c r="O201" i="1"/>
  <c r="N201" i="1"/>
  <c r="M201" i="1"/>
  <c r="K201" i="1"/>
  <c r="J201" i="1"/>
  <c r="G201" i="1"/>
  <c r="H201" i="1" s="1"/>
  <c r="O200" i="1"/>
  <c r="N200" i="1"/>
  <c r="J200" i="1" s="1"/>
  <c r="K200" i="1" s="1"/>
  <c r="M200" i="1"/>
  <c r="G200" i="1"/>
  <c r="H200" i="1" s="1"/>
  <c r="C200" i="1"/>
  <c r="P199" i="1"/>
  <c r="O199" i="1"/>
  <c r="N199" i="1"/>
  <c r="Q199" i="1" s="1"/>
  <c r="M199" i="1"/>
  <c r="J199" i="1"/>
  <c r="K199" i="1" s="1"/>
  <c r="H199" i="1"/>
  <c r="G199" i="1"/>
  <c r="C199" i="1"/>
  <c r="O198" i="1"/>
  <c r="N198" i="1"/>
  <c r="Q198" i="1" s="1"/>
  <c r="M198" i="1"/>
  <c r="H198" i="1"/>
  <c r="G198" i="1"/>
  <c r="C198" i="1"/>
  <c r="P197" i="1"/>
  <c r="O197" i="1"/>
  <c r="N197" i="1"/>
  <c r="Q197" i="1" s="1"/>
  <c r="M197" i="1"/>
  <c r="K197" i="1"/>
  <c r="J197" i="1"/>
  <c r="H197" i="1"/>
  <c r="G197" i="1"/>
  <c r="C197" i="1"/>
  <c r="O196" i="1"/>
  <c r="N196" i="1"/>
  <c r="J196" i="1" s="1"/>
  <c r="K196" i="1" s="1"/>
  <c r="M196" i="1"/>
  <c r="H196" i="1"/>
  <c r="G196" i="1"/>
  <c r="C196" i="1"/>
  <c r="P195" i="1"/>
  <c r="O195" i="1"/>
  <c r="N195" i="1"/>
  <c r="Q195" i="1" s="1"/>
  <c r="M195" i="1"/>
  <c r="K195" i="1"/>
  <c r="J195" i="1"/>
  <c r="H195" i="1"/>
  <c r="G195" i="1"/>
  <c r="C195" i="1"/>
  <c r="O194" i="1"/>
  <c r="N194" i="1"/>
  <c r="Q194" i="1" s="1"/>
  <c r="M194" i="1"/>
  <c r="H194" i="1"/>
  <c r="G194" i="1"/>
  <c r="C194" i="1"/>
  <c r="P193" i="1"/>
  <c r="O193" i="1"/>
  <c r="N193" i="1"/>
  <c r="J193" i="1" s="1"/>
  <c r="K193" i="1" s="1"/>
  <c r="M193" i="1"/>
  <c r="H193" i="1"/>
  <c r="G193" i="1"/>
  <c r="C193" i="1"/>
  <c r="O192" i="1"/>
  <c r="N192" i="1"/>
  <c r="J192" i="1" s="1"/>
  <c r="K192" i="1" s="1"/>
  <c r="M192" i="1"/>
  <c r="H192" i="1"/>
  <c r="G192" i="1"/>
  <c r="C192" i="1"/>
  <c r="P191" i="1"/>
  <c r="O191" i="1"/>
  <c r="N191" i="1"/>
  <c r="Q191" i="1" s="1"/>
  <c r="M191" i="1"/>
  <c r="K191" i="1"/>
  <c r="J191" i="1"/>
  <c r="H191" i="1"/>
  <c r="G191" i="1"/>
  <c r="C191" i="1"/>
  <c r="O190" i="1"/>
  <c r="N190" i="1"/>
  <c r="Q190" i="1" s="1"/>
  <c r="M190" i="1"/>
  <c r="H190" i="1"/>
  <c r="G190" i="1"/>
  <c r="C190" i="1"/>
  <c r="P189" i="1"/>
  <c r="O189" i="1"/>
  <c r="N189" i="1"/>
  <c r="J189" i="1" s="1"/>
  <c r="K189" i="1" s="1"/>
  <c r="M189" i="1"/>
  <c r="H189" i="1"/>
  <c r="G189" i="1"/>
  <c r="C189" i="1"/>
  <c r="O188" i="1"/>
  <c r="N188" i="1"/>
  <c r="J188" i="1" s="1"/>
  <c r="K188" i="1" s="1"/>
  <c r="M188" i="1"/>
  <c r="H188" i="1"/>
  <c r="G188" i="1"/>
  <c r="C188" i="1"/>
  <c r="P187" i="1"/>
  <c r="O187" i="1"/>
  <c r="N187" i="1"/>
  <c r="Q187" i="1" s="1"/>
  <c r="M187" i="1"/>
  <c r="K187" i="1"/>
  <c r="J187" i="1"/>
  <c r="H187" i="1"/>
  <c r="G187" i="1"/>
  <c r="C187" i="1"/>
  <c r="O186" i="1"/>
  <c r="N186" i="1"/>
  <c r="Q186" i="1" s="1"/>
  <c r="M186" i="1"/>
  <c r="H186" i="1"/>
  <c r="G186" i="1"/>
  <c r="C186" i="1"/>
  <c r="P185" i="1"/>
  <c r="O185" i="1"/>
  <c r="N185" i="1"/>
  <c r="J185" i="1" s="1"/>
  <c r="K185" i="1" s="1"/>
  <c r="M185" i="1"/>
  <c r="H185" i="1"/>
  <c r="G185" i="1"/>
  <c r="C185" i="1"/>
  <c r="O184" i="1"/>
  <c r="N184" i="1"/>
  <c r="J184" i="1" s="1"/>
  <c r="K184" i="1" s="1"/>
  <c r="M184" i="1"/>
  <c r="H184" i="1"/>
  <c r="G184" i="1"/>
  <c r="C184" i="1"/>
  <c r="P183" i="1"/>
  <c r="O183" i="1"/>
  <c r="N183" i="1"/>
  <c r="Q183" i="1" s="1"/>
  <c r="M183" i="1"/>
  <c r="K183" i="1"/>
  <c r="J183" i="1"/>
  <c r="H183" i="1"/>
  <c r="G183" i="1"/>
  <c r="C183" i="1"/>
  <c r="O182" i="1"/>
  <c r="N182" i="1"/>
  <c r="Q182" i="1" s="1"/>
  <c r="M182" i="1"/>
  <c r="H182" i="1"/>
  <c r="G182" i="1"/>
  <c r="C182" i="1"/>
  <c r="P181" i="1"/>
  <c r="O181" i="1"/>
  <c r="N181" i="1"/>
  <c r="J181" i="1" s="1"/>
  <c r="K181" i="1" s="1"/>
  <c r="M181" i="1"/>
  <c r="H181" i="1"/>
  <c r="G181" i="1"/>
  <c r="C181" i="1"/>
  <c r="O180" i="1"/>
  <c r="N180" i="1"/>
  <c r="J180" i="1" s="1"/>
  <c r="K180" i="1" s="1"/>
  <c r="M180" i="1"/>
  <c r="H180" i="1"/>
  <c r="G180" i="1"/>
  <c r="C180" i="1"/>
  <c r="P179" i="1"/>
  <c r="O179" i="1"/>
  <c r="N179" i="1"/>
  <c r="Q179" i="1" s="1"/>
  <c r="M179" i="1"/>
  <c r="K179" i="1"/>
  <c r="J179" i="1"/>
  <c r="H179" i="1"/>
  <c r="G179" i="1"/>
  <c r="C179" i="1"/>
  <c r="O178" i="1"/>
  <c r="N178" i="1"/>
  <c r="Q178" i="1" s="1"/>
  <c r="M178" i="1"/>
  <c r="H178" i="1"/>
  <c r="G178" i="1"/>
  <c r="C178" i="1"/>
  <c r="P177" i="1"/>
  <c r="O177" i="1"/>
  <c r="N177" i="1"/>
  <c r="J177" i="1" s="1"/>
  <c r="K177" i="1" s="1"/>
  <c r="M177" i="1"/>
  <c r="H177" i="1"/>
  <c r="G177" i="1"/>
  <c r="C177" i="1"/>
  <c r="O176" i="1"/>
  <c r="N176" i="1"/>
  <c r="J176" i="1" s="1"/>
  <c r="K176" i="1" s="1"/>
  <c r="M176" i="1"/>
  <c r="H176" i="1"/>
  <c r="G176" i="1"/>
  <c r="C176" i="1"/>
  <c r="P175" i="1"/>
  <c r="O175" i="1"/>
  <c r="N175" i="1"/>
  <c r="Q175" i="1" s="1"/>
  <c r="M175" i="1"/>
  <c r="K175" i="1"/>
  <c r="J175" i="1"/>
  <c r="H175" i="1"/>
  <c r="G175" i="1"/>
  <c r="C175" i="1"/>
  <c r="O174" i="1"/>
  <c r="N174" i="1"/>
  <c r="Q174" i="1" s="1"/>
  <c r="M174" i="1"/>
  <c r="H174" i="1"/>
  <c r="G174" i="1"/>
  <c r="C174" i="1"/>
  <c r="P173" i="1"/>
  <c r="O173" i="1"/>
  <c r="N173" i="1"/>
  <c r="J173" i="1" s="1"/>
  <c r="K173" i="1" s="1"/>
  <c r="M173" i="1"/>
  <c r="H173" i="1"/>
  <c r="G173" i="1"/>
  <c r="C173" i="1"/>
  <c r="O172" i="1"/>
  <c r="N172" i="1"/>
  <c r="J172" i="1" s="1"/>
  <c r="K172" i="1" s="1"/>
  <c r="M172" i="1"/>
  <c r="H172" i="1"/>
  <c r="G172" i="1"/>
  <c r="C172" i="1"/>
  <c r="P171" i="1"/>
  <c r="O171" i="1"/>
  <c r="N171" i="1"/>
  <c r="J171" i="1" s="1"/>
  <c r="K171" i="1" s="1"/>
  <c r="M171" i="1"/>
  <c r="H171" i="1"/>
  <c r="G171" i="1"/>
  <c r="C171" i="1"/>
  <c r="O170" i="1"/>
  <c r="N170" i="1"/>
  <c r="Q170" i="1" s="1"/>
  <c r="M170" i="1"/>
  <c r="H170" i="1"/>
  <c r="G170" i="1"/>
  <c r="C170" i="1"/>
  <c r="P169" i="1"/>
  <c r="O169" i="1"/>
  <c r="N169" i="1"/>
  <c r="J169" i="1" s="1"/>
  <c r="K169" i="1" s="1"/>
  <c r="M169" i="1"/>
  <c r="H169" i="1"/>
  <c r="G169" i="1"/>
  <c r="C169" i="1"/>
  <c r="O168" i="1"/>
  <c r="N168" i="1"/>
  <c r="J168" i="1" s="1"/>
  <c r="K168" i="1" s="1"/>
  <c r="M168" i="1"/>
  <c r="H168" i="1"/>
  <c r="G168" i="1"/>
  <c r="C168" i="1"/>
  <c r="P167" i="1"/>
  <c r="O167" i="1"/>
  <c r="N167" i="1"/>
  <c r="J167" i="1" s="1"/>
  <c r="K167" i="1" s="1"/>
  <c r="M167" i="1"/>
  <c r="H167" i="1"/>
  <c r="G167" i="1"/>
  <c r="C167" i="1"/>
  <c r="O166" i="1"/>
  <c r="N166" i="1"/>
  <c r="Q166" i="1" s="1"/>
  <c r="M166" i="1"/>
  <c r="H166" i="1"/>
  <c r="G166" i="1"/>
  <c r="C166" i="1"/>
  <c r="P165" i="1"/>
  <c r="O165" i="1"/>
  <c r="N165" i="1"/>
  <c r="J165" i="1" s="1"/>
  <c r="K165" i="1" s="1"/>
  <c r="M165" i="1"/>
  <c r="H165" i="1"/>
  <c r="G165" i="1"/>
  <c r="C165" i="1"/>
  <c r="O164" i="1"/>
  <c r="N164" i="1"/>
  <c r="J164" i="1" s="1"/>
  <c r="K164" i="1" s="1"/>
  <c r="M164" i="1"/>
  <c r="H164" i="1"/>
  <c r="G164" i="1"/>
  <c r="C164" i="1"/>
  <c r="P163" i="1"/>
  <c r="O163" i="1"/>
  <c r="N163" i="1"/>
  <c r="J163" i="1" s="1"/>
  <c r="K163" i="1" s="1"/>
  <c r="M163" i="1"/>
  <c r="H163" i="1"/>
  <c r="G163" i="1"/>
  <c r="C163" i="1"/>
  <c r="O162" i="1"/>
  <c r="N162" i="1"/>
  <c r="Q162" i="1" s="1"/>
  <c r="M162" i="1"/>
  <c r="H162" i="1"/>
  <c r="G162" i="1"/>
  <c r="C162" i="1"/>
  <c r="P161" i="1"/>
  <c r="O161" i="1"/>
  <c r="N161" i="1"/>
  <c r="J161" i="1" s="1"/>
  <c r="K161" i="1" s="1"/>
  <c r="M161" i="1"/>
  <c r="H161" i="1"/>
  <c r="G161" i="1"/>
  <c r="C161" i="1"/>
  <c r="O160" i="1"/>
  <c r="N160" i="1"/>
  <c r="J160" i="1" s="1"/>
  <c r="K160" i="1" s="1"/>
  <c r="M160" i="1"/>
  <c r="H160" i="1"/>
  <c r="G160" i="1"/>
  <c r="C160" i="1"/>
  <c r="P159" i="1"/>
  <c r="O159" i="1"/>
  <c r="N159" i="1"/>
  <c r="J159" i="1" s="1"/>
  <c r="K159" i="1" s="1"/>
  <c r="M159" i="1"/>
  <c r="H159" i="1"/>
  <c r="G159" i="1"/>
  <c r="C159" i="1"/>
  <c r="O158" i="1"/>
  <c r="N158" i="1"/>
  <c r="Q158" i="1" s="1"/>
  <c r="M158" i="1"/>
  <c r="H158" i="1"/>
  <c r="G158" i="1"/>
  <c r="C158" i="1"/>
  <c r="P157" i="1"/>
  <c r="O157" i="1"/>
  <c r="N157" i="1"/>
  <c r="J157" i="1" s="1"/>
  <c r="K157" i="1" s="1"/>
  <c r="M157" i="1"/>
  <c r="H157" i="1"/>
  <c r="G157" i="1"/>
  <c r="C157" i="1"/>
  <c r="O156" i="1"/>
  <c r="N156" i="1"/>
  <c r="J156" i="1" s="1"/>
  <c r="K156" i="1" s="1"/>
  <c r="M156" i="1"/>
  <c r="H156" i="1"/>
  <c r="G156" i="1"/>
  <c r="C156" i="1"/>
  <c r="P155" i="1"/>
  <c r="O155" i="1"/>
  <c r="N155" i="1"/>
  <c r="J155" i="1" s="1"/>
  <c r="K155" i="1" s="1"/>
  <c r="M155" i="1"/>
  <c r="H155" i="1"/>
  <c r="G155" i="1"/>
  <c r="C155" i="1"/>
  <c r="O154" i="1"/>
  <c r="N154" i="1"/>
  <c r="Q154" i="1" s="1"/>
  <c r="M154" i="1"/>
  <c r="H154" i="1"/>
  <c r="G154" i="1"/>
  <c r="C154" i="1"/>
  <c r="P153" i="1"/>
  <c r="O153" i="1"/>
  <c r="N153" i="1"/>
  <c r="J153" i="1" s="1"/>
  <c r="K153" i="1" s="1"/>
  <c r="M153" i="1"/>
  <c r="H153" i="1"/>
  <c r="G153" i="1"/>
  <c r="C153" i="1"/>
  <c r="O152" i="1"/>
  <c r="N152" i="1"/>
  <c r="J152" i="1" s="1"/>
  <c r="K152" i="1" s="1"/>
  <c r="M152" i="1"/>
  <c r="H152" i="1"/>
  <c r="G152" i="1"/>
  <c r="Q151" i="1"/>
  <c r="O151" i="1"/>
  <c r="N151" i="1"/>
  <c r="P151" i="1" s="1"/>
  <c r="M151" i="1"/>
  <c r="J151" i="1"/>
  <c r="K151" i="1" s="1"/>
  <c r="G151" i="1"/>
  <c r="H151" i="1" s="1"/>
  <c r="C151" i="1"/>
  <c r="Q150" i="1"/>
  <c r="O150" i="1"/>
  <c r="N150" i="1"/>
  <c r="P150" i="1" s="1"/>
  <c r="M150" i="1"/>
  <c r="J150" i="1"/>
  <c r="K150" i="1" s="1"/>
  <c r="G150" i="1"/>
  <c r="H150" i="1" s="1"/>
  <c r="C150" i="1"/>
  <c r="Q149" i="1"/>
  <c r="O149" i="1"/>
  <c r="N149" i="1"/>
  <c r="P149" i="1" s="1"/>
  <c r="M149" i="1"/>
  <c r="J149" i="1"/>
  <c r="K149" i="1" s="1"/>
  <c r="G149" i="1"/>
  <c r="H149" i="1" s="1"/>
  <c r="P148" i="1"/>
  <c r="O148" i="1"/>
  <c r="N148" i="1"/>
  <c r="J148" i="1" s="1"/>
  <c r="K148" i="1" s="1"/>
  <c r="M148" i="1"/>
  <c r="H148" i="1"/>
  <c r="G148" i="1"/>
  <c r="Q147" i="1"/>
  <c r="P147" i="1"/>
  <c r="O147" i="1"/>
  <c r="N147" i="1"/>
  <c r="M147" i="1"/>
  <c r="J147" i="1"/>
  <c r="K147" i="1" s="1"/>
  <c r="G147" i="1"/>
  <c r="H147" i="1" s="1"/>
  <c r="C147" i="1"/>
  <c r="Q146" i="1"/>
  <c r="O146" i="1"/>
  <c r="N146" i="1"/>
  <c r="P146" i="1" s="1"/>
  <c r="M146" i="1"/>
  <c r="J146" i="1"/>
  <c r="K146" i="1" s="1"/>
  <c r="G146" i="1"/>
  <c r="H146" i="1" s="1"/>
  <c r="P145" i="1"/>
  <c r="O145" i="1"/>
  <c r="N145" i="1"/>
  <c r="J145" i="1" s="1"/>
  <c r="K145" i="1" s="1"/>
  <c r="M145" i="1"/>
  <c r="H145" i="1"/>
  <c r="G145" i="1"/>
  <c r="Q144" i="1"/>
  <c r="P144" i="1"/>
  <c r="O144" i="1"/>
  <c r="N144" i="1"/>
  <c r="M144" i="1"/>
  <c r="J144" i="1"/>
  <c r="K144" i="1" s="1"/>
  <c r="G144" i="1"/>
  <c r="H144" i="1" s="1"/>
  <c r="O143" i="1"/>
  <c r="N143" i="1"/>
  <c r="Q143" i="1" s="1"/>
  <c r="M143" i="1"/>
  <c r="H143" i="1"/>
  <c r="G143" i="1"/>
  <c r="C143" i="1"/>
  <c r="P142" i="1"/>
  <c r="O142" i="1"/>
  <c r="N142" i="1"/>
  <c r="J142" i="1" s="1"/>
  <c r="K142" i="1" s="1"/>
  <c r="M142" i="1"/>
  <c r="H142" i="1"/>
  <c r="G142" i="1"/>
  <c r="C142" i="1"/>
  <c r="O141" i="1"/>
  <c r="N141" i="1"/>
  <c r="J141" i="1" s="1"/>
  <c r="K141" i="1" s="1"/>
  <c r="M141" i="1"/>
  <c r="H141" i="1"/>
  <c r="G141" i="1"/>
  <c r="C141" i="1"/>
  <c r="P140" i="1"/>
  <c r="O140" i="1"/>
  <c r="N140" i="1"/>
  <c r="J140" i="1" s="1"/>
  <c r="K140" i="1" s="1"/>
  <c r="M140" i="1"/>
  <c r="H140" i="1"/>
  <c r="G140" i="1"/>
  <c r="C140" i="1"/>
  <c r="O139" i="1"/>
  <c r="N139" i="1"/>
  <c r="Q139" i="1" s="1"/>
  <c r="M139" i="1"/>
  <c r="H139" i="1"/>
  <c r="G139" i="1"/>
  <c r="C139" i="1"/>
  <c r="P138" i="1"/>
  <c r="O138" i="1"/>
  <c r="N138" i="1"/>
  <c r="J138" i="1" s="1"/>
  <c r="K138" i="1" s="1"/>
  <c r="M138" i="1"/>
  <c r="H138" i="1"/>
  <c r="G138" i="1"/>
  <c r="Q137" i="1"/>
  <c r="P137" i="1"/>
  <c r="O137" i="1"/>
  <c r="N137" i="1"/>
  <c r="M137" i="1"/>
  <c r="J137" i="1"/>
  <c r="K137" i="1" s="1"/>
  <c r="G137" i="1"/>
  <c r="H137" i="1" s="1"/>
  <c r="O136" i="1"/>
  <c r="N136" i="1"/>
  <c r="J136" i="1" s="1"/>
  <c r="K136" i="1" s="1"/>
  <c r="M136" i="1"/>
  <c r="H136" i="1"/>
  <c r="G136" i="1"/>
  <c r="Q135" i="1"/>
  <c r="O135" i="1"/>
  <c r="N135" i="1"/>
  <c r="P135" i="1" s="1"/>
  <c r="M135" i="1"/>
  <c r="J135" i="1"/>
  <c r="K135" i="1" s="1"/>
  <c r="G135" i="1"/>
  <c r="H135" i="1" s="1"/>
  <c r="C135" i="1"/>
  <c r="Q134" i="1"/>
  <c r="P134" i="1"/>
  <c r="O134" i="1"/>
  <c r="N134" i="1"/>
  <c r="M134" i="1"/>
  <c r="J134" i="1"/>
  <c r="K134" i="1" s="1"/>
  <c r="G134" i="1"/>
  <c r="H134" i="1" s="1"/>
  <c r="C134" i="1"/>
  <c r="Q133" i="1"/>
  <c r="O133" i="1"/>
  <c r="N133" i="1"/>
  <c r="P133" i="1" s="1"/>
  <c r="M133" i="1"/>
  <c r="J133" i="1"/>
  <c r="K133" i="1" s="1"/>
  <c r="G133" i="1"/>
  <c r="H133" i="1" s="1"/>
  <c r="P132" i="1"/>
  <c r="O132" i="1"/>
  <c r="N132" i="1"/>
  <c r="J132" i="1" s="1"/>
  <c r="K132" i="1" s="1"/>
  <c r="M132" i="1"/>
  <c r="H132" i="1"/>
  <c r="G132" i="1"/>
  <c r="Q131" i="1"/>
  <c r="P131" i="1"/>
  <c r="O131" i="1"/>
  <c r="N131" i="1"/>
  <c r="M131" i="1"/>
  <c r="J131" i="1"/>
  <c r="K131" i="1" s="1"/>
  <c r="G131" i="1"/>
  <c r="H131" i="1" s="1"/>
  <c r="C131" i="1"/>
  <c r="Q130" i="1"/>
  <c r="O130" i="1"/>
  <c r="N130" i="1"/>
  <c r="P130" i="1" s="1"/>
  <c r="M130" i="1"/>
  <c r="J130" i="1"/>
  <c r="K130" i="1" s="1"/>
  <c r="G130" i="1"/>
  <c r="H130" i="1" s="1"/>
  <c r="P129" i="1"/>
  <c r="O129" i="1"/>
  <c r="N129" i="1"/>
  <c r="J129" i="1" s="1"/>
  <c r="K129" i="1" s="1"/>
  <c r="M129" i="1"/>
  <c r="H129" i="1"/>
  <c r="G129" i="1"/>
  <c r="Q128" i="1"/>
  <c r="P128" i="1"/>
  <c r="O128" i="1"/>
  <c r="N128" i="1"/>
  <c r="M128" i="1"/>
  <c r="J128" i="1"/>
  <c r="K128" i="1" s="1"/>
  <c r="G128" i="1"/>
  <c r="H128" i="1" s="1"/>
  <c r="O127" i="1"/>
  <c r="N127" i="1"/>
  <c r="Q127" i="1" s="1"/>
  <c r="M127" i="1"/>
  <c r="H127" i="1"/>
  <c r="G127" i="1"/>
  <c r="C127" i="1"/>
  <c r="P126" i="1"/>
  <c r="O126" i="1"/>
  <c r="N126" i="1"/>
  <c r="J126" i="1" s="1"/>
  <c r="K126" i="1" s="1"/>
  <c r="M126" i="1"/>
  <c r="H126" i="1"/>
  <c r="G126" i="1"/>
  <c r="C126" i="1"/>
  <c r="O125" i="1"/>
  <c r="N125" i="1"/>
  <c r="J125" i="1" s="1"/>
  <c r="K125" i="1" s="1"/>
  <c r="M125" i="1"/>
  <c r="H125" i="1"/>
  <c r="G125" i="1"/>
  <c r="C125" i="1"/>
  <c r="P124" i="1"/>
  <c r="O124" i="1"/>
  <c r="N124" i="1"/>
  <c r="J124" i="1" s="1"/>
  <c r="K124" i="1" s="1"/>
  <c r="M124" i="1"/>
  <c r="H124" i="1"/>
  <c r="G124" i="1"/>
  <c r="C124" i="1"/>
  <c r="O123" i="1"/>
  <c r="N123" i="1"/>
  <c r="Q123" i="1" s="1"/>
  <c r="M123" i="1"/>
  <c r="H123" i="1"/>
  <c r="G123" i="1"/>
  <c r="C123" i="1"/>
  <c r="P122" i="1"/>
  <c r="O122" i="1"/>
  <c r="N122" i="1"/>
  <c r="J122" i="1" s="1"/>
  <c r="K122" i="1" s="1"/>
  <c r="M122" i="1"/>
  <c r="H122" i="1"/>
  <c r="G122" i="1"/>
  <c r="C122" i="1"/>
  <c r="O121" i="1"/>
  <c r="N121" i="1"/>
  <c r="J121" i="1" s="1"/>
  <c r="K121" i="1" s="1"/>
  <c r="M121" i="1"/>
  <c r="H121" i="1"/>
  <c r="G121" i="1"/>
  <c r="C121" i="1"/>
  <c r="P120" i="1"/>
  <c r="O120" i="1"/>
  <c r="N120" i="1"/>
  <c r="J120" i="1" s="1"/>
  <c r="K120" i="1" s="1"/>
  <c r="M120" i="1"/>
  <c r="H120" i="1"/>
  <c r="G120" i="1"/>
  <c r="C120" i="1"/>
  <c r="O119" i="1"/>
  <c r="N119" i="1"/>
  <c r="Q119" i="1" s="1"/>
  <c r="M119" i="1"/>
  <c r="H119" i="1"/>
  <c r="G119" i="1"/>
  <c r="C119" i="1"/>
  <c r="O118" i="1"/>
  <c r="N118" i="1"/>
  <c r="J118" i="1" s="1"/>
  <c r="K118" i="1" s="1"/>
  <c r="M118" i="1"/>
  <c r="G118" i="1"/>
  <c r="H118" i="1" s="1"/>
  <c r="O117" i="1"/>
  <c r="N117" i="1"/>
  <c r="J117" i="1" s="1"/>
  <c r="K117" i="1" s="1"/>
  <c r="M117" i="1"/>
  <c r="G117" i="1"/>
  <c r="H117" i="1" s="1"/>
  <c r="P116" i="1"/>
  <c r="O116" i="1"/>
  <c r="N116" i="1"/>
  <c r="J116" i="1" s="1"/>
  <c r="K116" i="1" s="1"/>
  <c r="M116" i="1"/>
  <c r="H116" i="1"/>
  <c r="G116" i="1"/>
  <c r="C116" i="1"/>
  <c r="Q115" i="1"/>
  <c r="P115" i="1"/>
  <c r="O115" i="1"/>
  <c r="N115" i="1"/>
  <c r="J115" i="1" s="1"/>
  <c r="M115" i="1"/>
  <c r="K115" i="1"/>
  <c r="G115" i="1"/>
  <c r="H115" i="1" s="1"/>
  <c r="C115" i="1"/>
  <c r="O114" i="1"/>
  <c r="N114" i="1"/>
  <c r="Q114" i="1" s="1"/>
  <c r="M114" i="1"/>
  <c r="J114" i="1"/>
  <c r="K114" i="1" s="1"/>
  <c r="H114" i="1"/>
  <c r="G114" i="1"/>
  <c r="C114" i="1"/>
  <c r="O113" i="1"/>
  <c r="N113" i="1"/>
  <c r="M113" i="1"/>
  <c r="H113" i="1"/>
  <c r="G113" i="1"/>
  <c r="C113" i="1"/>
  <c r="O112" i="1"/>
  <c r="N112" i="1"/>
  <c r="M112" i="1"/>
  <c r="H112" i="1"/>
  <c r="G112" i="1"/>
  <c r="C112" i="1"/>
  <c r="Q111" i="1"/>
  <c r="O111" i="1"/>
  <c r="N111" i="1"/>
  <c r="P111" i="1" s="1"/>
  <c r="M111" i="1"/>
  <c r="K111" i="1"/>
  <c r="J111" i="1"/>
  <c r="H111" i="1"/>
  <c r="G111" i="1"/>
  <c r="C111" i="1"/>
  <c r="O110" i="1"/>
  <c r="N110" i="1"/>
  <c r="Q110" i="1" s="1"/>
  <c r="M110" i="1"/>
  <c r="J110" i="1"/>
  <c r="K110" i="1" s="1"/>
  <c r="H110" i="1"/>
  <c r="G110" i="1"/>
  <c r="C110" i="1"/>
  <c r="O109" i="1"/>
  <c r="N109" i="1"/>
  <c r="M109" i="1"/>
  <c r="H109" i="1"/>
  <c r="G109" i="1"/>
  <c r="C109" i="1"/>
  <c r="P108" i="1"/>
  <c r="O108" i="1"/>
  <c r="N108" i="1"/>
  <c r="J108" i="1" s="1"/>
  <c r="K108" i="1" s="1"/>
  <c r="M108" i="1"/>
  <c r="G108" i="1"/>
  <c r="H108" i="1" s="1"/>
  <c r="C108" i="1"/>
  <c r="O107" i="1"/>
  <c r="N107" i="1"/>
  <c r="Q107" i="1" s="1"/>
  <c r="M107" i="1"/>
  <c r="J107" i="1"/>
  <c r="K107" i="1" s="1"/>
  <c r="G107" i="1"/>
  <c r="H107" i="1" s="1"/>
  <c r="C107" i="1"/>
  <c r="O106" i="1"/>
  <c r="N106" i="1"/>
  <c r="Q106" i="1" s="1"/>
  <c r="M106" i="1"/>
  <c r="H106" i="1"/>
  <c r="G106" i="1"/>
  <c r="C106" i="1"/>
  <c r="P105" i="1"/>
  <c r="O105" i="1"/>
  <c r="N105" i="1"/>
  <c r="M105" i="1"/>
  <c r="G105" i="1"/>
  <c r="H105" i="1" s="1"/>
  <c r="C105" i="1"/>
  <c r="O104" i="1"/>
  <c r="N104" i="1"/>
  <c r="Q104" i="1" s="1"/>
  <c r="M104" i="1"/>
  <c r="H104" i="1"/>
  <c r="G104" i="1"/>
  <c r="C104" i="1"/>
  <c r="P103" i="1"/>
  <c r="O103" i="1"/>
  <c r="N103" i="1"/>
  <c r="Q103" i="1" s="1"/>
  <c r="M103" i="1"/>
  <c r="K103" i="1"/>
  <c r="J103" i="1"/>
  <c r="H103" i="1"/>
  <c r="G103" i="1"/>
  <c r="C103" i="1"/>
  <c r="O102" i="1"/>
  <c r="N102" i="1"/>
  <c r="Q102" i="1" s="1"/>
  <c r="M102" i="1"/>
  <c r="J102" i="1"/>
  <c r="K102" i="1" s="1"/>
  <c r="G102" i="1"/>
  <c r="H102" i="1" s="1"/>
  <c r="C102" i="1"/>
  <c r="P101" i="1"/>
  <c r="O101" i="1"/>
  <c r="N101" i="1"/>
  <c r="Q101" i="1" s="1"/>
  <c r="M101" i="1"/>
  <c r="J101" i="1"/>
  <c r="K101" i="1" s="1"/>
  <c r="G101" i="1"/>
  <c r="H101" i="1" s="1"/>
  <c r="C101" i="1"/>
  <c r="Q100" i="1"/>
  <c r="P100" i="1"/>
  <c r="O100" i="1"/>
  <c r="N100" i="1"/>
  <c r="M100" i="1"/>
  <c r="J100" i="1"/>
  <c r="K100" i="1" s="1"/>
  <c r="H100" i="1"/>
  <c r="G100" i="1"/>
  <c r="C100" i="1"/>
  <c r="Q99" i="1"/>
  <c r="O99" i="1"/>
  <c r="N99" i="1"/>
  <c r="P99" i="1" s="1"/>
  <c r="M99" i="1"/>
  <c r="J99" i="1"/>
  <c r="K99" i="1" s="1"/>
  <c r="G99" i="1"/>
  <c r="H99" i="1" s="1"/>
  <c r="C99" i="1"/>
  <c r="Q98" i="1"/>
  <c r="O98" i="1"/>
  <c r="N98" i="1"/>
  <c r="J98" i="1" s="1"/>
  <c r="K98" i="1" s="1"/>
  <c r="M98" i="1"/>
  <c r="G98" i="1"/>
  <c r="H98" i="1" s="1"/>
  <c r="C98" i="1"/>
  <c r="P97" i="1"/>
  <c r="O97" i="1"/>
  <c r="N97" i="1"/>
  <c r="Q97" i="1" s="1"/>
  <c r="M97" i="1"/>
  <c r="J97" i="1"/>
  <c r="K97" i="1" s="1"/>
  <c r="H97" i="1"/>
  <c r="G97" i="1"/>
  <c r="C97" i="1"/>
  <c r="Q96" i="1"/>
  <c r="P96" i="1"/>
  <c r="O96" i="1"/>
  <c r="N96" i="1"/>
  <c r="M96" i="1"/>
  <c r="K96" i="1"/>
  <c r="J96" i="1"/>
  <c r="H96" i="1"/>
  <c r="G96" i="1"/>
  <c r="C96" i="1"/>
  <c r="O95" i="1"/>
  <c r="N95" i="1"/>
  <c r="Q95" i="1" s="1"/>
  <c r="M95" i="1"/>
  <c r="K95" i="1"/>
  <c r="J95" i="1"/>
  <c r="H95" i="1"/>
  <c r="G95" i="1"/>
  <c r="C95" i="1"/>
  <c r="O94" i="1"/>
  <c r="N94" i="1"/>
  <c r="J94" i="1" s="1"/>
  <c r="K94" i="1" s="1"/>
  <c r="M94" i="1"/>
  <c r="G94" i="1"/>
  <c r="H94" i="1" s="1"/>
  <c r="C94" i="1"/>
  <c r="P93" i="1"/>
  <c r="O93" i="1"/>
  <c r="N93" i="1"/>
  <c r="Q93" i="1" s="1"/>
  <c r="M93" i="1"/>
  <c r="J93" i="1"/>
  <c r="K93" i="1" s="1"/>
  <c r="H93" i="1"/>
  <c r="G93" i="1"/>
  <c r="C93" i="1"/>
  <c r="Q92" i="1"/>
  <c r="P92" i="1"/>
  <c r="O92" i="1"/>
  <c r="N92" i="1"/>
  <c r="J92" i="1" s="1"/>
  <c r="K92" i="1" s="1"/>
  <c r="M92" i="1"/>
  <c r="H92" i="1"/>
  <c r="G92" i="1"/>
  <c r="C92" i="1"/>
  <c r="O91" i="1"/>
  <c r="N91" i="1"/>
  <c r="J91" i="1" s="1"/>
  <c r="K91" i="1" s="1"/>
  <c r="M91" i="1"/>
  <c r="H91" i="1"/>
  <c r="G91" i="1"/>
  <c r="C91" i="1"/>
  <c r="O90" i="1"/>
  <c r="N90" i="1"/>
  <c r="J90" i="1" s="1"/>
  <c r="K90" i="1" s="1"/>
  <c r="M90" i="1"/>
  <c r="G90" i="1"/>
  <c r="H90" i="1" s="1"/>
  <c r="C90" i="1"/>
  <c r="P89" i="1"/>
  <c r="O89" i="1"/>
  <c r="N89" i="1"/>
  <c r="Q89" i="1" s="1"/>
  <c r="M89" i="1"/>
  <c r="J89" i="1"/>
  <c r="K89" i="1" s="1"/>
  <c r="H89" i="1"/>
  <c r="G89" i="1"/>
  <c r="C89" i="1"/>
  <c r="Q88" i="1"/>
  <c r="P88" i="1"/>
  <c r="O88" i="1"/>
  <c r="N88" i="1"/>
  <c r="J88" i="1" s="1"/>
  <c r="K88" i="1" s="1"/>
  <c r="M88" i="1"/>
  <c r="H88" i="1"/>
  <c r="G88" i="1"/>
  <c r="C88" i="1"/>
  <c r="O87" i="1"/>
  <c r="N87" i="1"/>
  <c r="J87" i="1" s="1"/>
  <c r="K87" i="1" s="1"/>
  <c r="M87" i="1"/>
  <c r="H87" i="1"/>
  <c r="G87" i="1"/>
  <c r="C87" i="1"/>
  <c r="O86" i="1"/>
  <c r="N86" i="1"/>
  <c r="J86" i="1" s="1"/>
  <c r="K86" i="1" s="1"/>
  <c r="M86" i="1"/>
  <c r="G86" i="1"/>
  <c r="H86" i="1" s="1"/>
  <c r="C86" i="1"/>
  <c r="P85" i="1"/>
  <c r="O85" i="1"/>
  <c r="N85" i="1"/>
  <c r="J85" i="1" s="1"/>
  <c r="K85" i="1" s="1"/>
  <c r="M85" i="1"/>
  <c r="H85" i="1"/>
  <c r="G85" i="1"/>
  <c r="C85" i="1"/>
  <c r="P84" i="1"/>
  <c r="O84" i="1"/>
  <c r="N84" i="1"/>
  <c r="Q84" i="1" s="1"/>
  <c r="M84" i="1"/>
  <c r="H84" i="1"/>
  <c r="G84" i="1"/>
  <c r="C84" i="1"/>
  <c r="O83" i="1"/>
  <c r="N83" i="1"/>
  <c r="J83" i="1" s="1"/>
  <c r="K83" i="1" s="1"/>
  <c r="M83" i="1"/>
  <c r="H83" i="1"/>
  <c r="G83" i="1"/>
  <c r="C83" i="1"/>
  <c r="O82" i="1"/>
  <c r="N82" i="1"/>
  <c r="J82" i="1" s="1"/>
  <c r="K82" i="1" s="1"/>
  <c r="M82" i="1"/>
  <c r="H82" i="1"/>
  <c r="G82" i="1"/>
  <c r="C82" i="1"/>
  <c r="P81" i="1"/>
  <c r="O81" i="1"/>
  <c r="N81" i="1"/>
  <c r="J81" i="1" s="1"/>
  <c r="K81" i="1" s="1"/>
  <c r="M81" i="1"/>
  <c r="H81" i="1"/>
  <c r="G81" i="1"/>
  <c r="C81" i="1"/>
  <c r="P80" i="1"/>
  <c r="O80" i="1"/>
  <c r="N80" i="1"/>
  <c r="Q80" i="1" s="1"/>
  <c r="M80" i="1"/>
  <c r="H80" i="1"/>
  <c r="G80" i="1"/>
  <c r="C80" i="1"/>
  <c r="O79" i="1"/>
  <c r="N79" i="1"/>
  <c r="J79" i="1" s="1"/>
  <c r="K79" i="1" s="1"/>
  <c r="M79" i="1"/>
  <c r="H79" i="1"/>
  <c r="G79" i="1"/>
  <c r="C79" i="1"/>
  <c r="O78" i="1"/>
  <c r="N78" i="1"/>
  <c r="J78" i="1" s="1"/>
  <c r="K78" i="1" s="1"/>
  <c r="M78" i="1"/>
  <c r="H78" i="1"/>
  <c r="G78" i="1"/>
  <c r="C78" i="1"/>
  <c r="P77" i="1"/>
  <c r="O77" i="1"/>
  <c r="N77" i="1"/>
  <c r="J77" i="1" s="1"/>
  <c r="K77" i="1" s="1"/>
  <c r="M77" i="1"/>
  <c r="H77" i="1"/>
  <c r="G77" i="1"/>
  <c r="C77" i="1"/>
  <c r="P76" i="1"/>
  <c r="O76" i="1"/>
  <c r="N76" i="1"/>
  <c r="Q76" i="1" s="1"/>
  <c r="M76" i="1"/>
  <c r="H76" i="1"/>
  <c r="G76" i="1"/>
  <c r="C76" i="1"/>
  <c r="O75" i="1"/>
  <c r="N75" i="1"/>
  <c r="J75" i="1" s="1"/>
  <c r="K75" i="1" s="1"/>
  <c r="M75" i="1"/>
  <c r="H75" i="1"/>
  <c r="G75" i="1"/>
  <c r="C75" i="1"/>
  <c r="O74" i="1"/>
  <c r="N74" i="1"/>
  <c r="J74" i="1" s="1"/>
  <c r="K74" i="1" s="1"/>
  <c r="M74" i="1"/>
  <c r="H74" i="1"/>
  <c r="G74" i="1"/>
  <c r="C74" i="1"/>
  <c r="P73" i="1"/>
  <c r="O73" i="1"/>
  <c r="N73" i="1"/>
  <c r="J73" i="1" s="1"/>
  <c r="K73" i="1" s="1"/>
  <c r="M73" i="1"/>
  <c r="H73" i="1"/>
  <c r="G73" i="1"/>
  <c r="C73" i="1"/>
  <c r="P72" i="1"/>
  <c r="O72" i="1"/>
  <c r="N72" i="1"/>
  <c r="Q72" i="1" s="1"/>
  <c r="M72" i="1"/>
  <c r="H72" i="1"/>
  <c r="G72" i="1"/>
  <c r="C72" i="1"/>
  <c r="O71" i="1"/>
  <c r="N71" i="1"/>
  <c r="J71" i="1" s="1"/>
  <c r="K71" i="1" s="1"/>
  <c r="M71" i="1"/>
  <c r="H71" i="1"/>
  <c r="G71" i="1"/>
  <c r="C71" i="1"/>
  <c r="O70" i="1"/>
  <c r="N70" i="1"/>
  <c r="J70" i="1" s="1"/>
  <c r="K70" i="1" s="1"/>
  <c r="M70" i="1"/>
  <c r="H70" i="1"/>
  <c r="G70" i="1"/>
  <c r="C70" i="1"/>
  <c r="P69" i="1"/>
  <c r="O69" i="1"/>
  <c r="N69" i="1"/>
  <c r="J69" i="1" s="1"/>
  <c r="K69" i="1" s="1"/>
  <c r="M69" i="1"/>
  <c r="H69" i="1"/>
  <c r="G69" i="1"/>
  <c r="C69" i="1"/>
  <c r="P68" i="1"/>
  <c r="O68" i="1"/>
  <c r="N68" i="1"/>
  <c r="Q68" i="1" s="1"/>
  <c r="M68" i="1"/>
  <c r="H68" i="1"/>
  <c r="G68" i="1"/>
  <c r="C68" i="1"/>
  <c r="O67" i="1"/>
  <c r="N67" i="1"/>
  <c r="J67" i="1" s="1"/>
  <c r="K67" i="1" s="1"/>
  <c r="M67" i="1"/>
  <c r="H67" i="1"/>
  <c r="G67" i="1"/>
  <c r="C67" i="1"/>
  <c r="O66" i="1"/>
  <c r="N66" i="1"/>
  <c r="J66" i="1" s="1"/>
  <c r="K66" i="1" s="1"/>
  <c r="M66" i="1"/>
  <c r="H66" i="1"/>
  <c r="G66" i="1"/>
  <c r="C66" i="1"/>
  <c r="P65" i="1"/>
  <c r="O65" i="1"/>
  <c r="N65" i="1"/>
  <c r="J65" i="1" s="1"/>
  <c r="K65" i="1" s="1"/>
  <c r="M65" i="1"/>
  <c r="H65" i="1"/>
  <c r="G65" i="1"/>
  <c r="C65" i="1"/>
  <c r="P64" i="1"/>
  <c r="O64" i="1"/>
  <c r="N64" i="1"/>
  <c r="Q64" i="1" s="1"/>
  <c r="M64" i="1"/>
  <c r="H64" i="1"/>
  <c r="G64" i="1"/>
  <c r="C64" i="1"/>
  <c r="O63" i="1"/>
  <c r="N63" i="1"/>
  <c r="J63" i="1" s="1"/>
  <c r="K63" i="1" s="1"/>
  <c r="M63" i="1"/>
  <c r="H63" i="1"/>
  <c r="G63" i="1"/>
  <c r="C63" i="1"/>
  <c r="O62" i="1"/>
  <c r="N62" i="1"/>
  <c r="J62" i="1" s="1"/>
  <c r="K62" i="1" s="1"/>
  <c r="M62" i="1"/>
  <c r="H62" i="1"/>
  <c r="G62" i="1"/>
  <c r="C62" i="1"/>
  <c r="P61" i="1"/>
  <c r="O61" i="1"/>
  <c r="N61" i="1"/>
  <c r="J61" i="1" s="1"/>
  <c r="K61" i="1" s="1"/>
  <c r="M61" i="1"/>
  <c r="H61" i="1"/>
  <c r="G61" i="1"/>
  <c r="C61" i="1"/>
  <c r="P60" i="1"/>
  <c r="O60" i="1"/>
  <c r="N60" i="1"/>
  <c r="Q60" i="1" s="1"/>
  <c r="M60" i="1"/>
  <c r="H60" i="1"/>
  <c r="G60" i="1"/>
  <c r="C60" i="1"/>
  <c r="O59" i="1"/>
  <c r="N59" i="1"/>
  <c r="J59" i="1" s="1"/>
  <c r="K59" i="1" s="1"/>
  <c r="M59" i="1"/>
  <c r="H59" i="1"/>
  <c r="G59" i="1"/>
  <c r="C59" i="1"/>
  <c r="O58" i="1"/>
  <c r="N58" i="1"/>
  <c r="J58" i="1" s="1"/>
  <c r="K58" i="1" s="1"/>
  <c r="M58" i="1"/>
  <c r="H58" i="1"/>
  <c r="G58" i="1"/>
  <c r="C58" i="1"/>
  <c r="P57" i="1"/>
  <c r="O57" i="1"/>
  <c r="N57" i="1"/>
  <c r="J57" i="1" s="1"/>
  <c r="K57" i="1" s="1"/>
  <c r="M57" i="1"/>
  <c r="H57" i="1"/>
  <c r="G57" i="1"/>
  <c r="C57" i="1"/>
  <c r="P56" i="1"/>
  <c r="O56" i="1"/>
  <c r="N56" i="1"/>
  <c r="Q56" i="1" s="1"/>
  <c r="M56" i="1"/>
  <c r="H56" i="1"/>
  <c r="G56" i="1"/>
  <c r="C56" i="1"/>
  <c r="O55" i="1"/>
  <c r="N55" i="1"/>
  <c r="J55" i="1" s="1"/>
  <c r="K55" i="1" s="1"/>
  <c r="M55" i="1"/>
  <c r="H55" i="1"/>
  <c r="G55" i="1"/>
  <c r="C55" i="1"/>
  <c r="O54" i="1"/>
  <c r="N54" i="1"/>
  <c r="J54" i="1" s="1"/>
  <c r="K54" i="1" s="1"/>
  <c r="M54" i="1"/>
  <c r="H54" i="1"/>
  <c r="G54" i="1"/>
  <c r="C54" i="1"/>
  <c r="P53" i="1"/>
  <c r="O53" i="1"/>
  <c r="N53" i="1"/>
  <c r="J53" i="1" s="1"/>
  <c r="K53" i="1" s="1"/>
  <c r="M53" i="1"/>
  <c r="H53" i="1"/>
  <c r="G53" i="1"/>
  <c r="C53" i="1"/>
  <c r="P52" i="1"/>
  <c r="O52" i="1"/>
  <c r="N52" i="1"/>
  <c r="Q52" i="1" s="1"/>
  <c r="M52" i="1"/>
  <c r="H52" i="1"/>
  <c r="G52" i="1"/>
  <c r="C52" i="1"/>
  <c r="O51" i="1"/>
  <c r="N51" i="1"/>
  <c r="J51" i="1" s="1"/>
  <c r="K51" i="1" s="1"/>
  <c r="M51" i="1"/>
  <c r="H51" i="1"/>
  <c r="G51" i="1"/>
  <c r="C51" i="1"/>
  <c r="P50" i="1"/>
  <c r="O50" i="1"/>
  <c r="N50" i="1"/>
  <c r="J50" i="1" s="1"/>
  <c r="K50" i="1" s="1"/>
  <c r="M50" i="1"/>
  <c r="H50" i="1"/>
  <c r="G50" i="1"/>
  <c r="C50" i="1"/>
  <c r="P49" i="1"/>
  <c r="O49" i="1"/>
  <c r="N49" i="1"/>
  <c r="J49" i="1" s="1"/>
  <c r="K49" i="1" s="1"/>
  <c r="M49" i="1"/>
  <c r="H49" i="1"/>
  <c r="G49" i="1"/>
  <c r="C49" i="1"/>
  <c r="P48" i="1"/>
  <c r="O48" i="1"/>
  <c r="N48" i="1"/>
  <c r="Q48" i="1" s="1"/>
  <c r="M48" i="1"/>
  <c r="H48" i="1"/>
  <c r="G48" i="1"/>
  <c r="C48" i="1"/>
  <c r="O47" i="1"/>
  <c r="N47" i="1"/>
  <c r="J47" i="1" s="1"/>
  <c r="K47" i="1" s="1"/>
  <c r="M47" i="1"/>
  <c r="H47" i="1"/>
  <c r="G47" i="1"/>
  <c r="C47" i="1"/>
  <c r="P46" i="1"/>
  <c r="O46" i="1"/>
  <c r="N46" i="1"/>
  <c r="J46" i="1" s="1"/>
  <c r="K46" i="1" s="1"/>
  <c r="M46" i="1"/>
  <c r="H46" i="1"/>
  <c r="G46" i="1"/>
  <c r="C46" i="1"/>
  <c r="P45" i="1"/>
  <c r="O45" i="1"/>
  <c r="N45" i="1"/>
  <c r="J45" i="1" s="1"/>
  <c r="K45" i="1" s="1"/>
  <c r="M45" i="1"/>
  <c r="H45" i="1"/>
  <c r="G45" i="1"/>
  <c r="C45" i="1"/>
  <c r="P44" i="1"/>
  <c r="O44" i="1"/>
  <c r="N44" i="1"/>
  <c r="Q44" i="1" s="1"/>
  <c r="M44" i="1"/>
  <c r="H44" i="1"/>
  <c r="G44" i="1"/>
  <c r="C44" i="1"/>
  <c r="O43" i="1"/>
  <c r="N43" i="1"/>
  <c r="J43" i="1" s="1"/>
  <c r="K43" i="1" s="1"/>
  <c r="M43" i="1"/>
  <c r="H43" i="1"/>
  <c r="G43" i="1"/>
  <c r="C43" i="1"/>
  <c r="P42" i="1"/>
  <c r="O42" i="1"/>
  <c r="N42" i="1"/>
  <c r="J42" i="1" s="1"/>
  <c r="K42" i="1" s="1"/>
  <c r="M42" i="1"/>
  <c r="H42" i="1"/>
  <c r="G42" i="1"/>
  <c r="C42" i="1"/>
  <c r="P41" i="1"/>
  <c r="O41" i="1"/>
  <c r="N41" i="1"/>
  <c r="J41" i="1" s="1"/>
  <c r="K41" i="1" s="1"/>
  <c r="M41" i="1"/>
  <c r="H41" i="1"/>
  <c r="G41" i="1"/>
  <c r="C41" i="1"/>
  <c r="P40" i="1"/>
  <c r="O40" i="1"/>
  <c r="N40" i="1"/>
  <c r="Q40" i="1" s="1"/>
  <c r="M40" i="1"/>
  <c r="H40" i="1"/>
  <c r="G40" i="1"/>
  <c r="C40" i="1"/>
  <c r="O39" i="1"/>
  <c r="N39" i="1"/>
  <c r="J39" i="1" s="1"/>
  <c r="K39" i="1" s="1"/>
  <c r="M39" i="1"/>
  <c r="H39" i="1"/>
  <c r="G39" i="1"/>
  <c r="C39" i="1"/>
  <c r="O38" i="1"/>
  <c r="N38" i="1"/>
  <c r="J38" i="1" s="1"/>
  <c r="K38" i="1" s="1"/>
  <c r="M38" i="1"/>
  <c r="H38" i="1"/>
  <c r="G38" i="1"/>
  <c r="C38" i="1"/>
  <c r="P37" i="1"/>
  <c r="O37" i="1"/>
  <c r="N37" i="1"/>
  <c r="J37" i="1" s="1"/>
  <c r="K37" i="1" s="1"/>
  <c r="M37" i="1"/>
  <c r="H37" i="1"/>
  <c r="G37" i="1"/>
  <c r="C37" i="1"/>
  <c r="P36" i="1"/>
  <c r="O36" i="1"/>
  <c r="N36" i="1"/>
  <c r="Q36" i="1" s="1"/>
  <c r="M36" i="1"/>
  <c r="H36" i="1"/>
  <c r="G36" i="1"/>
  <c r="C36" i="1"/>
  <c r="O35" i="1"/>
  <c r="N35" i="1"/>
  <c r="J35" i="1" s="1"/>
  <c r="K35" i="1" s="1"/>
  <c r="M35" i="1"/>
  <c r="H35" i="1"/>
  <c r="G35" i="1"/>
  <c r="C35" i="1"/>
  <c r="O34" i="1"/>
  <c r="N34" i="1"/>
  <c r="J34" i="1" s="1"/>
  <c r="K34" i="1" s="1"/>
  <c r="M34" i="1"/>
  <c r="H34" i="1"/>
  <c r="G34" i="1"/>
  <c r="C34" i="1"/>
  <c r="P33" i="1"/>
  <c r="O33" i="1"/>
  <c r="N33" i="1"/>
  <c r="J33" i="1" s="1"/>
  <c r="K33" i="1" s="1"/>
  <c r="M33" i="1"/>
  <c r="H33" i="1"/>
  <c r="G33" i="1"/>
  <c r="C33" i="1"/>
  <c r="P32" i="1"/>
  <c r="O32" i="1"/>
  <c r="N32" i="1"/>
  <c r="Q32" i="1" s="1"/>
  <c r="M32" i="1"/>
  <c r="H32" i="1"/>
  <c r="G32" i="1"/>
  <c r="Q31" i="1"/>
  <c r="O31" i="1"/>
  <c r="N31" i="1"/>
  <c r="P31" i="1" s="1"/>
  <c r="M31" i="1"/>
  <c r="J31" i="1"/>
  <c r="K31" i="1" s="1"/>
  <c r="G31" i="1"/>
  <c r="H31" i="1" s="1"/>
  <c r="O30" i="1"/>
  <c r="N30" i="1"/>
  <c r="J30" i="1" s="1"/>
  <c r="K30" i="1" s="1"/>
  <c r="M30" i="1"/>
  <c r="H30" i="1"/>
  <c r="G30" i="1"/>
  <c r="Q29" i="1"/>
  <c r="P29" i="1"/>
  <c r="O29" i="1"/>
  <c r="N29" i="1"/>
  <c r="M29" i="1"/>
  <c r="J29" i="1"/>
  <c r="K29" i="1" s="1"/>
  <c r="G29" i="1"/>
  <c r="H29" i="1" s="1"/>
  <c r="O28" i="1"/>
  <c r="N28" i="1"/>
  <c r="J28" i="1" s="1"/>
  <c r="K28" i="1" s="1"/>
  <c r="M28" i="1"/>
  <c r="H28" i="1"/>
  <c r="G28" i="1"/>
  <c r="Q27" i="1"/>
  <c r="O27" i="1"/>
  <c r="N27" i="1"/>
  <c r="P27" i="1" s="1"/>
  <c r="M27" i="1"/>
  <c r="J27" i="1"/>
  <c r="K27" i="1" s="1"/>
  <c r="G27" i="1"/>
  <c r="H27" i="1" s="1"/>
  <c r="P26" i="1"/>
  <c r="O26" i="1"/>
  <c r="N26" i="1"/>
  <c r="J26" i="1" s="1"/>
  <c r="K26" i="1" s="1"/>
  <c r="M26" i="1"/>
  <c r="H26" i="1"/>
  <c r="G26" i="1"/>
  <c r="Q25" i="1"/>
  <c r="O25" i="1"/>
  <c r="N25" i="1"/>
  <c r="P25" i="1" s="1"/>
  <c r="M25" i="1"/>
  <c r="J25" i="1"/>
  <c r="K25" i="1" s="1"/>
  <c r="G25" i="1"/>
  <c r="H25" i="1" s="1"/>
  <c r="P24" i="1"/>
  <c r="O24" i="1"/>
  <c r="N24" i="1"/>
  <c r="Q24" i="1" s="1"/>
  <c r="M24" i="1"/>
  <c r="H24" i="1"/>
  <c r="G24" i="1"/>
  <c r="Q23" i="1"/>
  <c r="O23" i="1"/>
  <c r="N23" i="1"/>
  <c r="P23" i="1" s="1"/>
  <c r="M23" i="1"/>
  <c r="J23" i="1"/>
  <c r="K23" i="1" s="1"/>
  <c r="G23" i="1"/>
  <c r="H23" i="1" s="1"/>
  <c r="O22" i="1"/>
  <c r="N22" i="1"/>
  <c r="J22" i="1" s="1"/>
  <c r="K22" i="1" s="1"/>
  <c r="M22" i="1"/>
  <c r="H22" i="1"/>
  <c r="G22" i="1"/>
  <c r="Q21" i="1"/>
  <c r="P21" i="1"/>
  <c r="O21" i="1"/>
  <c r="N21" i="1"/>
  <c r="M21" i="1"/>
  <c r="J21" i="1"/>
  <c r="K21" i="1" s="1"/>
  <c r="G21" i="1"/>
  <c r="H21" i="1" s="1"/>
  <c r="O20" i="1"/>
  <c r="N20" i="1"/>
  <c r="J20" i="1" s="1"/>
  <c r="K20" i="1" s="1"/>
  <c r="M20" i="1"/>
  <c r="H20" i="1"/>
  <c r="G20" i="1"/>
  <c r="Q19" i="1"/>
  <c r="O19" i="1"/>
  <c r="N19" i="1"/>
  <c r="P19" i="1" s="1"/>
  <c r="M19" i="1"/>
  <c r="J19" i="1"/>
  <c r="K19" i="1" s="1"/>
  <c r="G19" i="1"/>
  <c r="H19" i="1" s="1"/>
  <c r="P18" i="1"/>
  <c r="O18" i="1"/>
  <c r="N18" i="1"/>
  <c r="J18" i="1" s="1"/>
  <c r="K18" i="1" s="1"/>
  <c r="M18" i="1"/>
  <c r="H18" i="1"/>
  <c r="G18" i="1"/>
  <c r="Q17" i="1"/>
  <c r="O17" i="1"/>
  <c r="N17" i="1"/>
  <c r="P17" i="1" s="1"/>
  <c r="M17" i="1"/>
  <c r="J17" i="1"/>
  <c r="K17" i="1" s="1"/>
  <c r="G17" i="1"/>
  <c r="H17" i="1" s="1"/>
  <c r="O16" i="1"/>
  <c r="N16" i="1"/>
  <c r="Q16" i="1" s="1"/>
  <c r="M16" i="1"/>
  <c r="H16" i="1"/>
  <c r="G16" i="1"/>
  <c r="Q15" i="1"/>
  <c r="O15" i="1"/>
  <c r="N15" i="1"/>
  <c r="P15" i="1" s="1"/>
  <c r="M15" i="1"/>
  <c r="J15" i="1"/>
  <c r="K15" i="1" s="1"/>
  <c r="G15" i="1"/>
  <c r="H15" i="1" s="1"/>
  <c r="C15" i="1"/>
  <c r="Q14" i="1"/>
  <c r="P14" i="1"/>
  <c r="O14" i="1"/>
  <c r="N14" i="1"/>
  <c r="M14" i="1"/>
  <c r="J14" i="1"/>
  <c r="K14" i="1" s="1"/>
  <c r="G14" i="1"/>
  <c r="H14" i="1" s="1"/>
  <c r="O13" i="1"/>
  <c r="N13" i="1"/>
  <c r="J13" i="1" s="1"/>
  <c r="K13" i="1" s="1"/>
  <c r="M13" i="1"/>
  <c r="H13" i="1"/>
  <c r="G13" i="1"/>
  <c r="Q12" i="1"/>
  <c r="O12" i="1"/>
  <c r="N12" i="1"/>
  <c r="P12" i="1" s="1"/>
  <c r="M12" i="1"/>
  <c r="J12" i="1"/>
  <c r="K12" i="1" s="1"/>
  <c r="G12" i="1"/>
  <c r="H12" i="1" s="1"/>
  <c r="P11" i="1"/>
  <c r="O11" i="1"/>
  <c r="N11" i="1"/>
  <c r="J11" i="1" s="1"/>
  <c r="K11" i="1" s="1"/>
  <c r="M11" i="1"/>
  <c r="H11" i="1"/>
  <c r="G11" i="1"/>
  <c r="Q10" i="1"/>
  <c r="O10" i="1"/>
  <c r="N10" i="1"/>
  <c r="P10" i="1" s="1"/>
  <c r="M10" i="1"/>
  <c r="J10" i="1"/>
  <c r="K10" i="1" s="1"/>
  <c r="G10" i="1"/>
  <c r="H10" i="1" s="1"/>
  <c r="O9" i="1"/>
  <c r="N9" i="1"/>
  <c r="Q9" i="1" s="1"/>
  <c r="M9" i="1"/>
  <c r="H9" i="1"/>
  <c r="G9" i="1"/>
  <c r="Q8" i="1"/>
  <c r="P8" i="1"/>
  <c r="O8" i="1"/>
  <c r="N8" i="1"/>
  <c r="M8" i="1"/>
  <c r="J8" i="1"/>
  <c r="K8" i="1" s="1"/>
  <c r="G8" i="1"/>
  <c r="H8" i="1" s="1"/>
  <c r="O7" i="1"/>
  <c r="N7" i="1"/>
  <c r="J7" i="1" s="1"/>
  <c r="K7" i="1" s="1"/>
  <c r="M7" i="1"/>
  <c r="H7" i="1"/>
  <c r="G7" i="1"/>
  <c r="Q6" i="1"/>
  <c r="P6" i="1"/>
  <c r="O6" i="1"/>
  <c r="N6" i="1"/>
  <c r="M6" i="1"/>
  <c r="J6" i="1"/>
  <c r="K6" i="1" s="1"/>
  <c r="G6" i="1"/>
  <c r="H6" i="1" s="1"/>
  <c r="O5" i="1"/>
  <c r="N5" i="1"/>
  <c r="J5" i="1" s="1"/>
  <c r="M5" i="1"/>
  <c r="H5" i="1"/>
  <c r="G5" i="1"/>
  <c r="K5" i="1" l="1"/>
  <c r="J104" i="1"/>
  <c r="K104" i="1" s="1"/>
  <c r="P107" i="1"/>
  <c r="J109" i="1"/>
  <c r="K109" i="1" s="1"/>
  <c r="Q109" i="1"/>
  <c r="J9" i="1"/>
  <c r="K9" i="1" s="1"/>
  <c r="Q11" i="1"/>
  <c r="J16" i="1"/>
  <c r="K16" i="1" s="1"/>
  <c r="Q18" i="1"/>
  <c r="J24" i="1"/>
  <c r="K24" i="1" s="1"/>
  <c r="Q26" i="1"/>
  <c r="J32" i="1"/>
  <c r="K32" i="1" s="1"/>
  <c r="Q33" i="1"/>
  <c r="J36" i="1"/>
  <c r="K36" i="1" s="1"/>
  <c r="Q37" i="1"/>
  <c r="J40" i="1"/>
  <c r="K40" i="1" s="1"/>
  <c r="Q41" i="1"/>
  <c r="J44" i="1"/>
  <c r="K44" i="1" s="1"/>
  <c r="Q45" i="1"/>
  <c r="J48" i="1"/>
  <c r="K48" i="1" s="1"/>
  <c r="Q49" i="1"/>
  <c r="J52" i="1"/>
  <c r="K52" i="1" s="1"/>
  <c r="Q53" i="1"/>
  <c r="J56" i="1"/>
  <c r="K56" i="1" s="1"/>
  <c r="Q57" i="1"/>
  <c r="J60" i="1"/>
  <c r="K60" i="1" s="1"/>
  <c r="Q61" i="1"/>
  <c r="J64" i="1"/>
  <c r="K64" i="1" s="1"/>
  <c r="Q65" i="1"/>
  <c r="J68" i="1"/>
  <c r="K68" i="1" s="1"/>
  <c r="Q69" i="1"/>
  <c r="J72" i="1"/>
  <c r="K72" i="1" s="1"/>
  <c r="Q73" i="1"/>
  <c r="J76" i="1"/>
  <c r="K76" i="1" s="1"/>
  <c r="Q77" i="1"/>
  <c r="J80" i="1"/>
  <c r="K80" i="1" s="1"/>
  <c r="Q81" i="1"/>
  <c r="J84" i="1"/>
  <c r="K84" i="1" s="1"/>
  <c r="Q85" i="1"/>
  <c r="P5" i="1"/>
  <c r="P13" i="1"/>
  <c r="P34" i="1"/>
  <c r="P38" i="1"/>
  <c r="P54" i="1"/>
  <c r="P58" i="1"/>
  <c r="P62" i="1"/>
  <c r="P66" i="1"/>
  <c r="P70" i="1"/>
  <c r="P74" i="1"/>
  <c r="P78" i="1"/>
  <c r="P82" i="1"/>
  <c r="P86" i="1"/>
  <c r="P90" i="1"/>
  <c r="P94" i="1"/>
  <c r="P98" i="1"/>
  <c r="P102" i="1"/>
  <c r="J106" i="1"/>
  <c r="K106" i="1" s="1"/>
  <c r="Q108" i="1"/>
  <c r="P109" i="1"/>
  <c r="P20" i="1"/>
  <c r="P28" i="1"/>
  <c r="Q5" i="1"/>
  <c r="Q13" i="1"/>
  <c r="Q20" i="1"/>
  <c r="Q28" i="1"/>
  <c r="Q34" i="1"/>
  <c r="Q38" i="1"/>
  <c r="Q42" i="1"/>
  <c r="Q46" i="1"/>
  <c r="Q50" i="1"/>
  <c r="Q54" i="1"/>
  <c r="Q58" i="1"/>
  <c r="Q62" i="1"/>
  <c r="Q66" i="1"/>
  <c r="Q70" i="1"/>
  <c r="Q74" i="1"/>
  <c r="Q78" i="1"/>
  <c r="Q82" i="1"/>
  <c r="Q86" i="1"/>
  <c r="Q90" i="1"/>
  <c r="Q94" i="1"/>
  <c r="P110" i="1"/>
  <c r="J112" i="1"/>
  <c r="K112" i="1" s="1"/>
  <c r="Q112" i="1"/>
  <c r="J113" i="1"/>
  <c r="K113" i="1" s="1"/>
  <c r="Q113" i="1"/>
  <c r="P22" i="1"/>
  <c r="P30" i="1"/>
  <c r="P35" i="1"/>
  <c r="P39" i="1"/>
  <c r="P43" i="1"/>
  <c r="P47" i="1"/>
  <c r="P51" i="1"/>
  <c r="P55" i="1"/>
  <c r="P59" i="1"/>
  <c r="P63" i="1"/>
  <c r="P67" i="1"/>
  <c r="P71" i="1"/>
  <c r="P75" i="1"/>
  <c r="P79" i="1"/>
  <c r="P83" i="1"/>
  <c r="P87" i="1"/>
  <c r="P91" i="1"/>
  <c r="P95" i="1"/>
  <c r="J105" i="1"/>
  <c r="K105" i="1" s="1"/>
  <c r="Q105" i="1"/>
  <c r="P7" i="1"/>
  <c r="Q7" i="1"/>
  <c r="Q22" i="1"/>
  <c r="Q30" i="1"/>
  <c r="Q35" i="1"/>
  <c r="Q39" i="1"/>
  <c r="Q43" i="1"/>
  <c r="Q47" i="1"/>
  <c r="Q51" i="1"/>
  <c r="Q55" i="1"/>
  <c r="Q59" i="1"/>
  <c r="Q63" i="1"/>
  <c r="Q67" i="1"/>
  <c r="Q71" i="1"/>
  <c r="Q75" i="1"/>
  <c r="Q79" i="1"/>
  <c r="Q83" i="1"/>
  <c r="Q87" i="1"/>
  <c r="Q91" i="1"/>
  <c r="P104" i="1"/>
  <c r="P112" i="1"/>
  <c r="P113" i="1"/>
  <c r="P114" i="1"/>
  <c r="P9" i="1"/>
  <c r="P16" i="1"/>
  <c r="P106" i="1"/>
  <c r="J246" i="1"/>
  <c r="K246" i="1" s="1"/>
  <c r="Q246" i="1"/>
  <c r="J254" i="1"/>
  <c r="K254" i="1" s="1"/>
  <c r="Q254" i="1"/>
  <c r="P254" i="1"/>
  <c r="J258" i="1"/>
  <c r="K258" i="1" s="1"/>
  <c r="Q258" i="1"/>
  <c r="P258" i="1"/>
  <c r="J262" i="1"/>
  <c r="K262" i="1" s="1"/>
  <c r="Q262" i="1"/>
  <c r="P262" i="1"/>
  <c r="J266" i="1"/>
  <c r="K266" i="1" s="1"/>
  <c r="Q266" i="1"/>
  <c r="P266" i="1"/>
  <c r="J270" i="1"/>
  <c r="K270" i="1" s="1"/>
  <c r="Q270" i="1"/>
  <c r="P270" i="1"/>
  <c r="P305" i="1"/>
  <c r="J305" i="1"/>
  <c r="K305" i="1" s="1"/>
  <c r="J119" i="1"/>
  <c r="K119" i="1" s="1"/>
  <c r="Q120" i="1"/>
  <c r="J123" i="1"/>
  <c r="K123" i="1" s="1"/>
  <c r="Q124" i="1"/>
  <c r="J127" i="1"/>
  <c r="K127" i="1" s="1"/>
  <c r="Q129" i="1"/>
  <c r="J139" i="1"/>
  <c r="K139" i="1" s="1"/>
  <c r="Q140" i="1"/>
  <c r="J143" i="1"/>
  <c r="K143" i="1" s="1"/>
  <c r="Q145" i="1"/>
  <c r="J154" i="1"/>
  <c r="K154" i="1" s="1"/>
  <c r="Q155" i="1"/>
  <c r="J158" i="1"/>
  <c r="K158" i="1" s="1"/>
  <c r="Q159" i="1"/>
  <c r="J162" i="1"/>
  <c r="K162" i="1" s="1"/>
  <c r="Q163" i="1"/>
  <c r="J166" i="1"/>
  <c r="K166" i="1" s="1"/>
  <c r="Q167" i="1"/>
  <c r="J170" i="1"/>
  <c r="K170" i="1" s="1"/>
  <c r="Q171" i="1"/>
  <c r="J174" i="1"/>
  <c r="K174" i="1" s="1"/>
  <c r="J178" i="1"/>
  <c r="K178" i="1" s="1"/>
  <c r="J182" i="1"/>
  <c r="K182" i="1" s="1"/>
  <c r="J186" i="1"/>
  <c r="K186" i="1" s="1"/>
  <c r="J190" i="1"/>
  <c r="K190" i="1" s="1"/>
  <c r="J194" i="1"/>
  <c r="K194" i="1" s="1"/>
  <c r="J198" i="1"/>
  <c r="K198" i="1" s="1"/>
  <c r="J204" i="1"/>
  <c r="K204" i="1" s="1"/>
  <c r="P207" i="1"/>
  <c r="P211" i="1"/>
  <c r="P216" i="1"/>
  <c r="P221" i="1"/>
  <c r="J228" i="1"/>
  <c r="K228" i="1" s="1"/>
  <c r="J232" i="1"/>
  <c r="K232" i="1" s="1"/>
  <c r="J237" i="1"/>
  <c r="K237" i="1" s="1"/>
  <c r="J241" i="1"/>
  <c r="K241" i="1" s="1"/>
  <c r="P245" i="1"/>
  <c r="P253" i="1"/>
  <c r="P257" i="1"/>
  <c r="P261" i="1"/>
  <c r="P293" i="1"/>
  <c r="J293" i="1"/>
  <c r="K293" i="1" s="1"/>
  <c r="P121" i="1"/>
  <c r="P125" i="1"/>
  <c r="P136" i="1"/>
  <c r="P141" i="1"/>
  <c r="P152" i="1"/>
  <c r="P156" i="1"/>
  <c r="P160" i="1"/>
  <c r="P164" i="1"/>
  <c r="P168" i="1"/>
  <c r="P172" i="1"/>
  <c r="P176" i="1"/>
  <c r="P180" i="1"/>
  <c r="P184" i="1"/>
  <c r="P188" i="1"/>
  <c r="P192" i="1"/>
  <c r="P196" i="1"/>
  <c r="P200" i="1"/>
  <c r="P217" i="1"/>
  <c r="P226" i="1"/>
  <c r="P230" i="1"/>
  <c r="P235" i="1"/>
  <c r="P239" i="1"/>
  <c r="J242" i="1"/>
  <c r="K242" i="1" s="1"/>
  <c r="J243" i="1"/>
  <c r="K243" i="1" s="1"/>
  <c r="Q245" i="1"/>
  <c r="P246" i="1"/>
  <c r="J251" i="1"/>
  <c r="K251" i="1" s="1"/>
  <c r="Q253" i="1"/>
  <c r="Q257" i="1"/>
  <c r="Q261" i="1"/>
  <c r="Q265" i="1"/>
  <c r="P281" i="1"/>
  <c r="J281" i="1"/>
  <c r="K281" i="1" s="1"/>
  <c r="Q305" i="1"/>
  <c r="Q116" i="1"/>
  <c r="P117" i="1"/>
  <c r="Q121" i="1"/>
  <c r="Q125" i="1"/>
  <c r="Q136" i="1"/>
  <c r="Q141" i="1"/>
  <c r="Q152" i="1"/>
  <c r="Q156" i="1"/>
  <c r="Q160" i="1"/>
  <c r="Q164" i="1"/>
  <c r="Q168" i="1"/>
  <c r="Q172" i="1"/>
  <c r="Q176" i="1"/>
  <c r="Q180" i="1"/>
  <c r="Q184" i="1"/>
  <c r="Q188" i="1"/>
  <c r="Q192" i="1"/>
  <c r="Q196" i="1"/>
  <c r="Q200" i="1"/>
  <c r="Q217" i="1"/>
  <c r="Q226" i="1"/>
  <c r="Q230" i="1"/>
  <c r="Q235" i="1"/>
  <c r="P301" i="1"/>
  <c r="J301" i="1"/>
  <c r="K301" i="1" s="1"/>
  <c r="Q117" i="1"/>
  <c r="P118" i="1"/>
  <c r="J250" i="1"/>
  <c r="K250" i="1" s="1"/>
  <c r="Q250" i="1"/>
  <c r="P289" i="1"/>
  <c r="J289" i="1"/>
  <c r="K289" i="1" s="1"/>
  <c r="Q118" i="1"/>
  <c r="Q122" i="1"/>
  <c r="Q126" i="1"/>
  <c r="Q132" i="1"/>
  <c r="Q138" i="1"/>
  <c r="Q142" i="1"/>
  <c r="Q148" i="1"/>
  <c r="Q153" i="1"/>
  <c r="Q157" i="1"/>
  <c r="Q161" i="1"/>
  <c r="Q165" i="1"/>
  <c r="Q169" i="1"/>
  <c r="Q173" i="1"/>
  <c r="Q177" i="1"/>
  <c r="Q181" i="1"/>
  <c r="Q185" i="1"/>
  <c r="Q189" i="1"/>
  <c r="Q193" i="1"/>
  <c r="P203" i="1"/>
  <c r="P209" i="1"/>
  <c r="P214" i="1"/>
  <c r="P219" i="1"/>
  <c r="P223" i="1"/>
  <c r="P249" i="1"/>
  <c r="P277" i="1"/>
  <c r="J277" i="1"/>
  <c r="K277" i="1" s="1"/>
  <c r="Q301" i="1"/>
  <c r="P119" i="1"/>
  <c r="P123" i="1"/>
  <c r="P127" i="1"/>
  <c r="P139" i="1"/>
  <c r="P143" i="1"/>
  <c r="P154" i="1"/>
  <c r="P158" i="1"/>
  <c r="P162" i="1"/>
  <c r="P166" i="1"/>
  <c r="P170" i="1"/>
  <c r="P174" i="1"/>
  <c r="P178" i="1"/>
  <c r="P182" i="1"/>
  <c r="P186" i="1"/>
  <c r="P190" i="1"/>
  <c r="P194" i="1"/>
  <c r="P198" i="1"/>
  <c r="P204" i="1"/>
  <c r="P228" i="1"/>
  <c r="P232" i="1"/>
  <c r="P237" i="1"/>
  <c r="P241" i="1"/>
  <c r="Q249" i="1"/>
  <c r="P250" i="1"/>
  <c r="Q289" i="1"/>
  <c r="P297" i="1"/>
  <c r="J297" i="1"/>
  <c r="K297" i="1" s="1"/>
  <c r="Q277" i="1"/>
  <c r="P285" i="1"/>
  <c r="J285" i="1"/>
  <c r="K285" i="1" s="1"/>
  <c r="P274" i="1"/>
  <c r="P278" i="1"/>
  <c r="P282" i="1"/>
  <c r="P286" i="1"/>
  <c r="P290" i="1"/>
  <c r="P294" i="1"/>
  <c r="P298" i="1"/>
  <c r="P302" i="1"/>
  <c r="P306" i="1"/>
  <c r="Q310" i="1"/>
  <c r="P311" i="1"/>
  <c r="Q318" i="1"/>
  <c r="P319" i="1"/>
  <c r="Q326" i="1"/>
  <c r="P327" i="1"/>
  <c r="Q334" i="1"/>
  <c r="P335" i="1"/>
  <c r="Q342" i="1"/>
  <c r="P343" i="1"/>
  <c r="P351" i="1"/>
  <c r="P357" i="1"/>
  <c r="P361" i="1"/>
  <c r="P365" i="1"/>
  <c r="P369" i="1"/>
  <c r="P373" i="1"/>
  <c r="Q274" i="1"/>
  <c r="Q278" i="1"/>
  <c r="Q282" i="1"/>
  <c r="Q286" i="1"/>
  <c r="Q290" i="1"/>
  <c r="Q294" i="1"/>
  <c r="Q298" i="1"/>
  <c r="Q302" i="1"/>
  <c r="Q306" i="1"/>
  <c r="J309" i="1"/>
  <c r="K309" i="1" s="1"/>
  <c r="Q311" i="1"/>
  <c r="P312" i="1"/>
  <c r="J317" i="1"/>
  <c r="K317" i="1" s="1"/>
  <c r="Q319" i="1"/>
  <c r="P320" i="1"/>
  <c r="J325" i="1"/>
  <c r="K325" i="1" s="1"/>
  <c r="Q327" i="1"/>
  <c r="P328" i="1"/>
  <c r="J333" i="1"/>
  <c r="K333" i="1" s="1"/>
  <c r="Q335" i="1"/>
  <c r="P336" i="1"/>
  <c r="J341" i="1"/>
  <c r="K341" i="1" s="1"/>
  <c r="P344" i="1"/>
  <c r="J349" i="1"/>
  <c r="K349" i="1" s="1"/>
  <c r="P352" i="1"/>
  <c r="J356" i="1"/>
  <c r="K356" i="1" s="1"/>
  <c r="Q357" i="1"/>
  <c r="J360" i="1"/>
  <c r="K360" i="1" s="1"/>
  <c r="Q361" i="1"/>
  <c r="J364" i="1"/>
  <c r="K364" i="1" s="1"/>
  <c r="Q365" i="1"/>
  <c r="J368" i="1"/>
  <c r="K368" i="1" s="1"/>
  <c r="Q369" i="1"/>
  <c r="J372" i="1"/>
  <c r="K372" i="1" s="1"/>
  <c r="Q373" i="1"/>
  <c r="J376" i="1"/>
  <c r="K376" i="1" s="1"/>
  <c r="J380" i="1"/>
  <c r="K380" i="1" s="1"/>
  <c r="J384" i="1"/>
  <c r="K384" i="1" s="1"/>
  <c r="Q312" i="1"/>
  <c r="Q320" i="1"/>
  <c r="P374" i="1"/>
  <c r="P378" i="1"/>
  <c r="P322" i="1"/>
  <c r="P346" i="1"/>
  <c r="P354" i="1"/>
  <c r="Q370" i="1"/>
  <c r="P359" i="1"/>
  <c r="P363" i="1"/>
  <c r="P367" i="1"/>
  <c r="P371" i="1"/>
  <c r="Q359" i="1"/>
  <c r="Q363" i="1"/>
  <c r="Q367" i="1"/>
  <c r="Q371" i="1"/>
  <c r="Q375" i="1"/>
  <c r="P325" i="1"/>
  <c r="P333" i="1"/>
  <c r="P341" i="1"/>
  <c r="P349" i="1"/>
  <c r="P356" i="1"/>
  <c r="P360" i="1"/>
  <c r="P364" i="1"/>
  <c r="P368" i="1"/>
  <c r="P372" i="1"/>
  <c r="P376" i="1"/>
  <c r="P380" i="1"/>
  <c r="P384" i="1"/>
  <c r="S2" i="1" l="1"/>
  <c r="V2" i="1"/>
  <c r="Y2" i="1"/>
</calcChain>
</file>

<file path=xl/sharedStrings.xml><?xml version="1.0" encoding="utf-8"?>
<sst xmlns="http://schemas.openxmlformats.org/spreadsheetml/2006/main" count="509" uniqueCount="413">
  <si>
    <t>PREÇO DE VENDA - CHIQUINHO SORVETES</t>
  </si>
  <si>
    <t>MÉDIA % INSUMO</t>
  </si>
  <si>
    <t>MÉDIA % LUCRO REAL</t>
  </si>
  <si>
    <t>MÉDIA % CUSTO REAL</t>
  </si>
  <si>
    <t>CÓDIGO</t>
  </si>
  <si>
    <t>GRUPO</t>
  </si>
  <si>
    <t>NOME GRUPO</t>
  </si>
  <si>
    <t>DESCRIÇÃO DO ITEM</t>
  </si>
  <si>
    <t>VENDA MIN</t>
  </si>
  <si>
    <t>VENDA MAX</t>
  </si>
  <si>
    <t>SUGESTÃO</t>
  </si>
  <si>
    <t>DIFERENÇA</t>
  </si>
  <si>
    <t>PREÇO PRATICADO</t>
  </si>
  <si>
    <t>LUCRO REAL %</t>
  </si>
  <si>
    <t>LUCRO REAL R$</t>
  </si>
  <si>
    <t>QUANT. VENDA</t>
  </si>
  <si>
    <t>% CUSTO REAL</t>
  </si>
  <si>
    <t>CUSTO</t>
  </si>
  <si>
    <t>Total Venda</t>
  </si>
  <si>
    <t>Total Custo</t>
  </si>
  <si>
    <t>% INSUMOS</t>
  </si>
  <si>
    <t>Acai</t>
  </si>
  <si>
    <t>Açai Monte o Seu 300ml</t>
  </si>
  <si>
    <t>Açai Monte o Seu 400ml</t>
  </si>
  <si>
    <t>*Média s/ Adicional, Açaí, Pote e Ed. Limitada</t>
  </si>
  <si>
    <t>Açai Monte o Seu 500ml</t>
  </si>
  <si>
    <t>Ad Aç Amendoim triturado</t>
  </si>
  <si>
    <t>Ad Aç Banana</t>
  </si>
  <si>
    <t xml:space="preserve">Ad Aç Morango </t>
  </si>
  <si>
    <t>Ad Aç Mini Disqueti</t>
  </si>
  <si>
    <t>Ad Aç Leite Ninho</t>
  </si>
  <si>
    <t>Ad Aç Chocolate granulado</t>
  </si>
  <si>
    <t>Ad Aç Ovomaltine</t>
  </si>
  <si>
    <t>Ad Aç Leite Condensado Moça</t>
  </si>
  <si>
    <t>Ad Aç Ganache chiquinho</t>
  </si>
  <si>
    <t>Ad Aç Trufada Chiquinho</t>
  </si>
  <si>
    <t>Ad Aç Chantilly</t>
  </si>
  <si>
    <t>Ad Aç Doce de Leite</t>
  </si>
  <si>
    <t>Ad Aç Biscoito Negresco</t>
  </si>
  <si>
    <t>Ad Aç Marshmallow Torção fini</t>
  </si>
  <si>
    <t>Ad Aç Polpa Morango</t>
  </si>
  <si>
    <t>Ad Aç Polpa maracujá</t>
  </si>
  <si>
    <t>Ad Aç Polpa Frutas Vermelhas</t>
  </si>
  <si>
    <t>Ad Aç Creme Crocante Ovomaltine</t>
  </si>
  <si>
    <t>Ad Aç Farofa Especial</t>
  </si>
  <si>
    <t>Ad Aç Granola</t>
  </si>
  <si>
    <t>Ad Aç Sorvete ( baun/choco/misto)</t>
  </si>
  <si>
    <t>Ad Aç Nutella</t>
  </si>
  <si>
    <t>Ad Aç Bijú Wafer</t>
  </si>
  <si>
    <t>Ad Aç Farinha Láctea</t>
  </si>
  <si>
    <t>Ad Aç Ouro Branco</t>
  </si>
  <si>
    <t>Ad Nutela</t>
  </si>
  <si>
    <t>Ad Leite Ninho</t>
  </si>
  <si>
    <t>Ad Chantilly</t>
  </si>
  <si>
    <t>Ad Ganache Chiquinho</t>
  </si>
  <si>
    <t>Ad Stracciatela Meio amarga</t>
  </si>
  <si>
    <t>Ad Chocolate Granulado</t>
  </si>
  <si>
    <t>Ad Cappuccino</t>
  </si>
  <si>
    <t>Ad stracciatela Branca</t>
  </si>
  <si>
    <t>Ad Creme de Menta</t>
  </si>
  <si>
    <t>Ad Ovomaltine</t>
  </si>
  <si>
    <t>Ad Doce De Leite</t>
  </si>
  <si>
    <t>Ad Calda Trufada</t>
  </si>
  <si>
    <t>Ad Suco de limão</t>
  </si>
  <si>
    <t>Ad Farinha Láctea</t>
  </si>
  <si>
    <t>Ad Banana</t>
  </si>
  <si>
    <t>Ad Mescla Frutas Vermelhas</t>
  </si>
  <si>
    <t>Ad Mescla Maracuja</t>
  </si>
  <si>
    <t>Ad Mescla Morango</t>
  </si>
  <si>
    <t>Ad Leite Condensado</t>
  </si>
  <si>
    <t>Ad Suflair (30g)</t>
  </si>
  <si>
    <t>Ad Suflair (20g)</t>
  </si>
  <si>
    <t>Ad Suflair Duo</t>
  </si>
  <si>
    <t>Ad Kit Kat</t>
  </si>
  <si>
    <t>Ad Polpa de Maracujá</t>
  </si>
  <si>
    <t>Ad Polpa de Morango</t>
  </si>
  <si>
    <t>Ad Polpa de Frutas Vermelhas</t>
  </si>
  <si>
    <t>Ad Biscoito Negresco (3 bisc.)</t>
  </si>
  <si>
    <t>Ad Biscoito Negresco (2 bisc.)</t>
  </si>
  <si>
    <t>Ad Bombom Ouro Branco (2 unid.)</t>
  </si>
  <si>
    <t>Ad Bombom Ouro Branco (1 unid.)</t>
  </si>
  <si>
    <t>Ad Açaí</t>
  </si>
  <si>
    <t>Ad Creme Crocante Ovomaltine</t>
  </si>
  <si>
    <t>Ad Café</t>
  </si>
  <si>
    <t>Ad Canudinho Biju Wafer</t>
  </si>
  <si>
    <t>Ad Cobertura Chocolate</t>
  </si>
  <si>
    <t>Ad Cobertura Morango</t>
  </si>
  <si>
    <t>Ad Cobertura Caramelo</t>
  </si>
  <si>
    <t>Ad Farofa Especial</t>
  </si>
  <si>
    <t>Ad Amendoim</t>
  </si>
  <si>
    <t>Ad Marshmallow torcao Fini</t>
  </si>
  <si>
    <t>Ad Mini Disqueti</t>
  </si>
  <si>
    <t>Ad Morango</t>
  </si>
  <si>
    <t>Ad pacote casquinhas 10 unid. - Delivery</t>
  </si>
  <si>
    <t>Ad pacote cascão 10 unid. - Delivery</t>
  </si>
  <si>
    <t>Ad Bolo Petit Gateau</t>
  </si>
  <si>
    <t>Petit Gateau Chiquinho (4x80 gr)</t>
  </si>
  <si>
    <t>Petit Gateau Chiquinho (1x80 gr)</t>
  </si>
  <si>
    <t>Ad Biscoito Maizena</t>
  </si>
  <si>
    <t>Ad Pistache</t>
  </si>
  <si>
    <t>Ad Mesclado Dubai</t>
  </si>
  <si>
    <t>Ad Puro Leite</t>
  </si>
  <si>
    <t>Ad Coco Malásia</t>
  </si>
  <si>
    <t>Ad Amarena</t>
  </si>
  <si>
    <t>Ad Calda Fondue</t>
  </si>
  <si>
    <t>Ad. Creme de Ninho</t>
  </si>
  <si>
    <t>Kit viagem único</t>
  </si>
  <si>
    <t>Kit viagem duplo</t>
  </si>
  <si>
    <t>Big Sundae Cobertura Caramelo</t>
  </si>
  <si>
    <t>Big Sundae Cobertura Chocolate</t>
  </si>
  <si>
    <t>Big Sundae Cobertura Morango</t>
  </si>
  <si>
    <t>Big Sundae Chocotino Turbo</t>
  </si>
  <si>
    <t>Bubble Waffle no Cone c/ Chantilly</t>
  </si>
  <si>
    <t xml:space="preserve">Bubble Waffle no Cone c/Sorvetes </t>
  </si>
  <si>
    <t>Bubble Waffle no Cone c/ Chantilly G</t>
  </si>
  <si>
    <t>Bubble Waffle no Cone c/Sorvetes G</t>
  </si>
  <si>
    <t>B.W Amendoim Granulado</t>
  </si>
  <si>
    <t>B.W Banana</t>
  </si>
  <si>
    <t>B.W Morango</t>
  </si>
  <si>
    <t>B.W Mini Disqueti</t>
  </si>
  <si>
    <t>B.W Granulado</t>
  </si>
  <si>
    <t>B.W Ovomaltine</t>
  </si>
  <si>
    <t>B.W Leite Condesado Moça</t>
  </si>
  <si>
    <t>B.W Ganache Chiquinho</t>
  </si>
  <si>
    <t>B.W Chocolate Trufado</t>
  </si>
  <si>
    <t>B.W Doce de Leite</t>
  </si>
  <si>
    <t>B.W Marshamallow Fini</t>
  </si>
  <si>
    <t>B.W Polpa Morango</t>
  </si>
  <si>
    <t>B.W Polpa Frutas Vermelhas</t>
  </si>
  <si>
    <t>B.W Creme Crocante</t>
  </si>
  <si>
    <t>B.W Farofa Especial</t>
  </si>
  <si>
    <t>B.W Nutella</t>
  </si>
  <si>
    <t>B.W Canudinho Biju Wafer</t>
  </si>
  <si>
    <t>B.W Kit Kat</t>
  </si>
  <si>
    <t>B.W Suflair</t>
  </si>
  <si>
    <t>Campanha Pistache Dubai</t>
  </si>
  <si>
    <t>Mini Shake Mix® Pistache Dubai 200 ml</t>
  </si>
  <si>
    <t>Milk Shake Pistache Dubai 300 ml</t>
  </si>
  <si>
    <t>Cascao Calda Quente</t>
  </si>
  <si>
    <t>Cascao Tradicional Cobertura Caramelo</t>
  </si>
  <si>
    <t>Cascao Tradicional Cobertura Chocolate</t>
  </si>
  <si>
    <t>Cascao Tradicional Cobertura Morango</t>
  </si>
  <si>
    <t>Cascao Recheado Cobertura Caramelo</t>
  </si>
  <si>
    <t>Cascao Recheado Cobertura Chocolate</t>
  </si>
  <si>
    <t>Cascao Recheado Cobertura Morango</t>
  </si>
  <si>
    <t>Cascao Trufado Amendoim</t>
  </si>
  <si>
    <t>Cascao Trufado Brigadeiro</t>
  </si>
  <si>
    <t>Cascao</t>
  </si>
  <si>
    <t>Cascao Trufado c/ Doce de Leite</t>
  </si>
  <si>
    <t>Cascao Trufado c/ Doce de leite e borda de amendoim</t>
  </si>
  <si>
    <t>Cascao Trufado c/ Doce de leite e borda de brigadeiro</t>
  </si>
  <si>
    <t>Cascao Trufado c/ Nutella</t>
  </si>
  <si>
    <t>Cascao Trufado c/ Nutella e borda de amendoim</t>
  </si>
  <si>
    <t>Cascao Trufado c/ Nutella e borda de brigadeiro</t>
  </si>
  <si>
    <t>Cascao Trufado Ovomaltine</t>
  </si>
  <si>
    <t>Cascao Trufado Tradicional</t>
  </si>
  <si>
    <t>Cascão Trufado com Nutella e Banana</t>
  </si>
  <si>
    <t>Cascão Trufado com Nutella e Morango</t>
  </si>
  <si>
    <t>Cascão Trufado Pistache</t>
  </si>
  <si>
    <t>Casquinha Tradicional</t>
  </si>
  <si>
    <t>Casquinha Calda Quente</t>
  </si>
  <si>
    <t xml:space="preserve">Casquinha Recheada </t>
  </si>
  <si>
    <t>Casquinha Trufada Amendoim</t>
  </si>
  <si>
    <t>Casquinha Trufada Brigadeiro</t>
  </si>
  <si>
    <t>Casquinha</t>
  </si>
  <si>
    <t>Casquinha Trufada c/ Doce de Leite</t>
  </si>
  <si>
    <t>=</t>
  </si>
  <si>
    <t>Casquinha Trufada c/ Doce de leite e borda de ameidoim</t>
  </si>
  <si>
    <t>Casquinha Trufada c/ Doce de leite e borda de brigadeiro</t>
  </si>
  <si>
    <t>Casquinha Trufada c/ Nutella</t>
  </si>
  <si>
    <t>Casquinha Trufada c/ Nutella e borda de amendoim</t>
  </si>
  <si>
    <t>Casquinha Trufada c/ Nutella e borda de brigadeiro</t>
  </si>
  <si>
    <t>Casquinha Trufada Ovomaltine</t>
  </si>
  <si>
    <t>Casquinha Trufada Tradicional</t>
  </si>
  <si>
    <t>Casquinha Trufada Pistache</t>
  </si>
  <si>
    <t>Top Fruit Frutas Vermelhas</t>
  </si>
  <si>
    <t>Top Fruit  Maracuja</t>
  </si>
  <si>
    <t>Top Fruit  Morango</t>
  </si>
  <si>
    <t>Affogato</t>
  </si>
  <si>
    <t>Cappuccino com Suflair (quente ou frio)</t>
  </si>
  <si>
    <t>Chocolate (quente ou frio)</t>
  </si>
  <si>
    <t>Chocolate com sorvete (quente ou frio)</t>
  </si>
  <si>
    <t>Canecake c/ Chantilly e Ganache</t>
  </si>
  <si>
    <t>Canecake c/Sorvete e Ganache</t>
  </si>
  <si>
    <t>Ad. C Morango</t>
  </si>
  <si>
    <t>Ad.C Banana</t>
  </si>
  <si>
    <t>Ad.C Nutella</t>
  </si>
  <si>
    <t>Ad.C Polpa de Frutas Vermelhas</t>
  </si>
  <si>
    <t>Ad.C Doce de leite</t>
  </si>
  <si>
    <t>Ad.C Chocolate Trufado</t>
  </si>
  <si>
    <t>Ad. B.C Creme de Leite Ninho</t>
  </si>
  <si>
    <t>Ad.C Leite Condesado Moça</t>
  </si>
  <si>
    <t>Ad.C Kit Kat</t>
  </si>
  <si>
    <t>Ad.C Mini Disqueti</t>
  </si>
  <si>
    <t>Ad.C Farofa Especial</t>
  </si>
  <si>
    <t>Ad.C Creme Crocante Ovomaltine</t>
  </si>
  <si>
    <t xml:space="preserve">Ad.C. Creme de Pistache </t>
  </si>
  <si>
    <t>Ad.C Ouro Branco</t>
  </si>
  <si>
    <t>Ad.C Calda do Fondue</t>
  </si>
  <si>
    <t>Ad. Creme Puro Leite</t>
  </si>
  <si>
    <t>Ad. Doce de Abobora com Coco</t>
  </si>
  <si>
    <t>Ad. Creme Tapioca</t>
  </si>
  <si>
    <t>Ad. Creme Coco Malásia</t>
  </si>
  <si>
    <t>Fondue Mix  -200 ml</t>
  </si>
  <si>
    <t>Fondue Mix  -300 ml</t>
  </si>
  <si>
    <t>Top Fondue</t>
  </si>
  <si>
    <t>Fondue de Morango -200 ml</t>
  </si>
  <si>
    <t>Fondue de Morango -300 ml</t>
  </si>
  <si>
    <t>Fondue de Banana -200 ml</t>
  </si>
  <si>
    <t>Fondue de Banana -300 ml</t>
  </si>
  <si>
    <t>Fondue de Uva -200 ml</t>
  </si>
  <si>
    <t>Fondue de Uva -300 ml</t>
  </si>
  <si>
    <t>Brownie Clássico</t>
  </si>
  <si>
    <t>Café Shake com Nutella 300 ml</t>
  </si>
  <si>
    <t>Café Shake com Doce de Leite 300 ml</t>
  </si>
  <si>
    <t>Café Shake Tradicional 300 ml</t>
  </si>
  <si>
    <t>Café Espresso</t>
  </si>
  <si>
    <t>Café Espresso com Chantilly</t>
  </si>
  <si>
    <t>Café Shake Trufado 300 ml</t>
  </si>
  <si>
    <t>Café Shake Pé de Moleque 300 ml</t>
  </si>
  <si>
    <t>Mix Fruit Frutas Vermelhas</t>
  </si>
  <si>
    <t>Mix Fruit Maracuja</t>
  </si>
  <si>
    <t>Mix Fruit Morango</t>
  </si>
  <si>
    <t>MS Fabulosos 300ml</t>
  </si>
  <si>
    <t>Milk-Shake Chocotino  turbo 300 ml</t>
  </si>
  <si>
    <t>Ms3 Leites 300 ml</t>
  </si>
  <si>
    <t>MsAcai 300 ml</t>
  </si>
  <si>
    <t>MsAmarena e Calda Quente 300 ml</t>
  </si>
  <si>
    <t>MsBeijinho com Coco da Malásia 300 ml</t>
  </si>
  <si>
    <t>Msbombom de Morango 300Ml</t>
  </si>
  <si>
    <t>MSCappuccino Chocolate 300 ml</t>
  </si>
  <si>
    <t>Mschocotino 300Ml</t>
  </si>
  <si>
    <t>Msdoce Leite 300Ml</t>
  </si>
  <si>
    <t>Msduo Chocolate 300Ml</t>
  </si>
  <si>
    <t>Msfrutas Vermelhas 300Ml</t>
  </si>
  <si>
    <t>MsLimão com Leite moça 300 ml</t>
  </si>
  <si>
    <t>MsMousse de Maracujá 300 ml</t>
  </si>
  <si>
    <t>MsNapolitano 300 ml</t>
  </si>
  <si>
    <t>MsNinho 300Ml</t>
  </si>
  <si>
    <t>Msnutella 300Ml</t>
  </si>
  <si>
    <t>MsPink Limonade 300 ml</t>
  </si>
  <si>
    <t>MsPistache 300 ml</t>
  </si>
  <si>
    <t>Milk-Shake Chocotino  turbo 400 ml</t>
  </si>
  <si>
    <t>Ms3 Leites 400 ml</t>
  </si>
  <si>
    <t>MsAcai 400 ml</t>
  </si>
  <si>
    <t>MsAmarena e Calda Quente 400 ml</t>
  </si>
  <si>
    <t>MsBeijinho com Coco da Malásia 400 ml</t>
  </si>
  <si>
    <t>Msbombom de Morango 400Ml</t>
  </si>
  <si>
    <t>MS Fabulosos 400ml</t>
  </si>
  <si>
    <t>MSCappuccino Chocolate 400 ml</t>
  </si>
  <si>
    <t>Mschocotino 400Ml</t>
  </si>
  <si>
    <t>Msdoce Leite 400Ml</t>
  </si>
  <si>
    <t>Msduo Chocolate 400Ml</t>
  </si>
  <si>
    <t>Msfrutas Vermelhas 400Ml</t>
  </si>
  <si>
    <t>MsLimão com Leite moça 400 ml</t>
  </si>
  <si>
    <t>MsMousse de Maracujá 400 ml</t>
  </si>
  <si>
    <t>MsNapolitano 400 ml</t>
  </si>
  <si>
    <t>MsNinho 400Ml</t>
  </si>
  <si>
    <t>Msnutella 400Ml</t>
  </si>
  <si>
    <t>MsPink Limonade 400 ml</t>
  </si>
  <si>
    <t>MsPistache 400 ml</t>
  </si>
  <si>
    <t>Milk-Shake Chocotino  turbo 500 ml</t>
  </si>
  <si>
    <t>Ms3 Leites 500 ml</t>
  </si>
  <si>
    <t>MsAcai 500 ml</t>
  </si>
  <si>
    <t>MsAmarena e Calda Quente 500 ml</t>
  </si>
  <si>
    <t>MsBeijinho com Coco da Malásia 500 ml</t>
  </si>
  <si>
    <t>Msbombom de Morango 500Ml</t>
  </si>
  <si>
    <t>MS Fabulosos 500ml</t>
  </si>
  <si>
    <t>MSCappuccino Chocolate 500 ml</t>
  </si>
  <si>
    <t>Mschocotino 500Ml</t>
  </si>
  <si>
    <t>Msdoce Leite 500Ml</t>
  </si>
  <si>
    <t>Msduo Chocolate 500Ml</t>
  </si>
  <si>
    <t>Msfrutas Vermelhas 500Ml</t>
  </si>
  <si>
    <t>MsLimão com Leite moça 500 ml</t>
  </si>
  <si>
    <t>MsMousse de Maracujá 500 ml</t>
  </si>
  <si>
    <t>MsNapolitano 500 ml</t>
  </si>
  <si>
    <t>MsNinho 500Ml</t>
  </si>
  <si>
    <t>Msnutella 500Ml</t>
  </si>
  <si>
    <t>MsPink Limonade 500 ml</t>
  </si>
  <si>
    <t>MsPistache 500 ml</t>
  </si>
  <si>
    <t>Msbaunilha 300Ml</t>
  </si>
  <si>
    <t>Msbrigadeiro 300Ml</t>
  </si>
  <si>
    <t>Mscappuccino 300Ml</t>
  </si>
  <si>
    <t>Mschocolate 300Ml</t>
  </si>
  <si>
    <t>Mschocolate Branco 300Ml</t>
  </si>
  <si>
    <t>Mschocomenta 300Ml</t>
  </si>
  <si>
    <t>MsFarinha Láctea e Banana 300 ml</t>
  </si>
  <si>
    <t>Msflocos 300Ml</t>
  </si>
  <si>
    <t>Msmaracuja 300Ml</t>
  </si>
  <si>
    <t>Msmorango 300Ml</t>
  </si>
  <si>
    <t>Msmousse de Chocolate 300Ml</t>
  </si>
  <si>
    <t>MsPuro Leite 300 ml</t>
  </si>
  <si>
    <t>Mstrufado 300Ml</t>
  </si>
  <si>
    <t>Msbaunilha 400Ml</t>
  </si>
  <si>
    <t>Msbrigadeiro 400Ml</t>
  </si>
  <si>
    <t>Mscappuccino 400Ml</t>
  </si>
  <si>
    <t>Mschocolate 400Ml</t>
  </si>
  <si>
    <t>Mschocolate Branco 400Ml</t>
  </si>
  <si>
    <t>Mschocomenta 400Ml</t>
  </si>
  <si>
    <t>MsFarinha Láctea e Banana 400 ml</t>
  </si>
  <si>
    <t>Msflocos 400Ml</t>
  </si>
  <si>
    <t>Msmaracuja 400Ml</t>
  </si>
  <si>
    <t>Msmorango 400Ml</t>
  </si>
  <si>
    <t>Msmousse de Chocolate 400Ml</t>
  </si>
  <si>
    <t>MsPuro Leite 400 ml</t>
  </si>
  <si>
    <t>Mstrufado 400Ml</t>
  </si>
  <si>
    <t>Msbaunilha 500Ml</t>
  </si>
  <si>
    <t>Msbrigadeiro 500Ml</t>
  </si>
  <si>
    <t>Mscappuccino 500Ml</t>
  </si>
  <si>
    <t>Mschocolate 500Ml</t>
  </si>
  <si>
    <t>Mschocolate Branco 500Ml</t>
  </si>
  <si>
    <t>Mschocomenta 500Ml</t>
  </si>
  <si>
    <t>MsFarinha Láctea e Banana 500 ml</t>
  </si>
  <si>
    <t>Msflocos 500Ml</t>
  </si>
  <si>
    <t>Msmaracuja 500Ml</t>
  </si>
  <si>
    <t>Msmorango 500Ml</t>
  </si>
  <si>
    <t>Msmousse de Chocolate 500Ml</t>
  </si>
  <si>
    <t>MsPuro Leite 500 ml</t>
  </si>
  <si>
    <t>Mstrufado 500Ml</t>
  </si>
  <si>
    <t>Petit Gateau</t>
  </si>
  <si>
    <t>Petit Gateau Raffinée c/Sorvete</t>
  </si>
  <si>
    <t>Petit Gateau Chiquinho (1x80gr)</t>
  </si>
  <si>
    <t>Chiquinho no Pote Maracuja</t>
  </si>
  <si>
    <t>Chiquinho no Pote Flocos</t>
  </si>
  <si>
    <t>Chiquinho no Pote Baunilha</t>
  </si>
  <si>
    <t>Chiquinho no Pote Chocolate</t>
  </si>
  <si>
    <t>Chiquinho no Pote Misto</t>
  </si>
  <si>
    <t>Chiquinho no Pote Frutas Vermelhas</t>
  </si>
  <si>
    <t>Chiquinho no Pote Chocolate Intenso</t>
  </si>
  <si>
    <t>Chiquinho no Pote Morango</t>
  </si>
  <si>
    <t>Chiquinho no Pote Ninho c/ Nutella</t>
  </si>
  <si>
    <t>Chiquinho no Pote Ninho Trufado</t>
  </si>
  <si>
    <t>Chiquinho no Pote Doce de Leite</t>
  </si>
  <si>
    <t>Chiquinho no Pote Limão com Leite Moça</t>
  </si>
  <si>
    <t>SM Clas. 200 ml</t>
  </si>
  <si>
    <t>Shake Mix Chocomenta com Negresco 200 ml</t>
  </si>
  <si>
    <t>Shake Mix Doce de Leite com Negresco 200 ml</t>
  </si>
  <si>
    <t>Shake Mix Farinha Láctea e Banana 200 ml</t>
  </si>
  <si>
    <t>Shake Mix Maracujá Trufado 200 ml</t>
  </si>
  <si>
    <t>Shake Mix Puro Leite 200 ml</t>
  </si>
  <si>
    <t>Shake Mix® Torta Banoffe 200 ml</t>
  </si>
  <si>
    <t>Shake Mix® Torta de Limão 200 ml</t>
  </si>
  <si>
    <t>SM Clas. 300 ml</t>
  </si>
  <si>
    <t>Shake Mix Chocomenta c/ Negresco 300 ml</t>
  </si>
  <si>
    <t>Shake Mix Doce de Leite c/ Negresco 300 ml</t>
  </si>
  <si>
    <t>Shake Mix Farinha Láctea e Banana 300 ml</t>
  </si>
  <si>
    <t>Shake Mix Maracuja Trufado 300 ml</t>
  </si>
  <si>
    <t>Shake Mix Puro Leite 300 ml</t>
  </si>
  <si>
    <t>Shake Mix® Torta Banoffe 300 ml</t>
  </si>
  <si>
    <t>Shake Mix® Torta de Limão 300 ml</t>
  </si>
  <si>
    <t>SM Insup. 200 ml</t>
  </si>
  <si>
    <t>Ovomaltine Mix 200 ml</t>
  </si>
  <si>
    <t>Shake Mix® Açai com Creme Crocante 200 ml</t>
  </si>
  <si>
    <t>Shake Mix® Açaí com Nutella 200 ml</t>
  </si>
  <si>
    <t>Shake Mix® Amarena &amp; Calda Trufada 200 ml</t>
  </si>
  <si>
    <t>Shake Mix® Beijinho com Coco Malásia 200 ml</t>
  </si>
  <si>
    <t>Shake Mix® c/ Nutella e Fini 200 ml</t>
  </si>
  <si>
    <t>Shake Mix® Chocotino c/Nutella 200 ml</t>
  </si>
  <si>
    <t>Shake Mix® Morango c/ Fini 200 ml</t>
  </si>
  <si>
    <t>Shake Mix® Morango c/ Ninho 200 ml</t>
  </si>
  <si>
    <t>Shake Mix® Morango Supremo 200 ml</t>
  </si>
  <si>
    <t>Shake Mix® Ninho c/ Nutella 200 ml</t>
  </si>
  <si>
    <t>Shake Mix® Ninho Trufado 200 ml</t>
  </si>
  <si>
    <t>Shake Mix® Ouro Branco 200 ml</t>
  </si>
  <si>
    <t>Shake Mix® Pistache 200 ml</t>
  </si>
  <si>
    <t>Shake Mix® Suflair Trufado 200 ml</t>
  </si>
  <si>
    <t>Shake Mix® Trufado de Nutella 200 ml</t>
  </si>
  <si>
    <t>SM Insup. 300 ml</t>
  </si>
  <si>
    <t>Ovomaltine Mix 300 ml</t>
  </si>
  <si>
    <t>Shake Mix® Açaí com Creme Crocante 300 ml</t>
  </si>
  <si>
    <t>Shake Mix® Açai com Nutella 300 ml</t>
  </si>
  <si>
    <t>Shake Mix® Amarena &amp; Calda Trufada 300 ml</t>
  </si>
  <si>
    <t>Shake Mix® Beijinho com Coco Malásia 300 ml</t>
  </si>
  <si>
    <t>Shake Mix® c/ Nutella e Fini 300 ml</t>
  </si>
  <si>
    <t>Shake Mix® Chocotino c/ Nutella 300 ml</t>
  </si>
  <si>
    <t>Shake Mix® Morango c/ Fini 300 ml</t>
  </si>
  <si>
    <t>Shake Mix® Morango c/ Ninho 300 ml</t>
  </si>
  <si>
    <t>Shake Mix® Morango Supremo 300 ml</t>
  </si>
  <si>
    <t>Shake Mix® Ninho c/ Nutella 300 ml</t>
  </si>
  <si>
    <t>Shake Mix® Ninho Trufado 300 ml</t>
  </si>
  <si>
    <t>Shake Mix® Ouro Branco 300 ml</t>
  </si>
  <si>
    <t>Shake Mix® Pistache 300 ml</t>
  </si>
  <si>
    <t>Shake Mix® Suflair Trufado 300 ml</t>
  </si>
  <si>
    <t>Shake Mix® Trufado de Nutella 300 ml</t>
  </si>
  <si>
    <t>Sorvete no Copo - 200 ml</t>
  </si>
  <si>
    <t>Sorvete no Copo - 300 ml</t>
  </si>
  <si>
    <t>Sorvete no Copo - 400 ml</t>
  </si>
  <si>
    <t>Sorvete no Copo -500 ml</t>
  </si>
  <si>
    <t>Sorvete no Copo -100 ml</t>
  </si>
  <si>
    <t>Sundae Cobertura Caramelo</t>
  </si>
  <si>
    <t>Sundae Cobertura Chocolate</t>
  </si>
  <si>
    <t>Sundae Cobertura Morango</t>
  </si>
  <si>
    <t>Sundae Ovomaltine Cobertura Caramelo</t>
  </si>
  <si>
    <t>Sundae Ovomaltine Cobertura Chocolate</t>
  </si>
  <si>
    <t>Sundae Ovomaltine Cobertura Morango</t>
  </si>
  <si>
    <t>Sundae Ovomaltine</t>
  </si>
  <si>
    <t>Sundae Kids Brigadeiro com Cobertuta Caramelo</t>
  </si>
  <si>
    <t>Sundae Kids Disqueti com Cobertura Caramelo</t>
  </si>
  <si>
    <t>Sundae Kids Brigadeiro com Cobertuta Chocolate</t>
  </si>
  <si>
    <t>Sundae Kids Disqueti com Cobertura Chocolate</t>
  </si>
  <si>
    <t>Sundae Kids Brigadeiro com Cobertura Morango</t>
  </si>
  <si>
    <t>Sundae Kids Disqueti com Cobertura Morango</t>
  </si>
  <si>
    <t>Top Mix C/ Kit Kat</t>
  </si>
  <si>
    <t>Top Mix C/Suflair</t>
  </si>
  <si>
    <t>Top Mix C/ Suflair Duo</t>
  </si>
  <si>
    <t>Top Mix - Monte o Seu</t>
  </si>
  <si>
    <t>Ad Nutella (Top Mix - Monte o Seu)</t>
  </si>
  <si>
    <t>Ad Granola (Top Mix - Monte o Seu)</t>
  </si>
  <si>
    <t>Ad Leite Ninho (Top Mix - Monte o Seu)</t>
  </si>
  <si>
    <t>Ad Ovomaltine (Top Mix - Monte o Seu)</t>
  </si>
  <si>
    <t>Ad Ganache (Top Mix - Monte o Seu)</t>
  </si>
  <si>
    <t>Ad Leite Moça (Top Mix - Monte o Seu)</t>
  </si>
  <si>
    <t>Ad Farinha Láctea (Top Mix - Monte o Seu)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</si>
</sst>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#,##0_ ;\-#,##0\ "/>
    <numFmt numFmtId="166" formatCode="_-* #,##0.0000_-;\-* #,##0.00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0"/>
      <color theme="0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theme="1"/>
      </bottom>
      <diagonal/>
    </border>
    <border>
      <left/>
      <right/>
      <top style="double">
        <color theme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7">
    <xf numFmtId="0" fontId="0" fillId="0" borderId="0" xfId="0"/>
    <xf numFmtId="0" fontId="4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9" fontId="0" fillId="0" borderId="3" xfId="0" applyNumberFormat="1" applyBorder="1"/>
    <xf numFmtId="9" fontId="3" fillId="0" borderId="4" xfId="0" applyNumberFormat="1" applyFont="1" applyBorder="1"/>
    <xf numFmtId="10" fontId="0" fillId="3" borderId="3" xfId="0" applyNumberFormat="1" applyFill="1" applyBorder="1"/>
    <xf numFmtId="9" fontId="3" fillId="3" borderId="4" xfId="0" applyNumberFormat="1" applyFont="1" applyFill="1" applyBorder="1"/>
    <xf numFmtId="0" fontId="4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6" xfId="0" applyFont="1" applyFill="1" applyBorder="1"/>
    <xf numFmtId="43" fontId="2" fillId="2" borderId="6" xfId="1" applyFont="1" applyFill="1" applyBorder="1"/>
    <xf numFmtId="43" fontId="2" fillId="2" borderId="6" xfId="1" applyFont="1" applyFill="1" applyBorder="1" applyProtection="1">
      <protection locked="0"/>
    </xf>
    <xf numFmtId="43" fontId="5" fillId="2" borderId="6" xfId="1" applyFont="1" applyFill="1" applyBorder="1"/>
    <xf numFmtId="0" fontId="6" fillId="0" borderId="7" xfId="0" quotePrefix="1" applyFont="1" applyBorder="1" applyAlignment="1">
      <alignment horizontal="right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 vertical="center"/>
    </xf>
    <xf numFmtId="43" fontId="6" fillId="0" borderId="0" xfId="1" quotePrefix="1" applyFont="1" applyFill="1" applyBorder="1" applyProtection="1">
      <protection locked="0"/>
    </xf>
    <xf numFmtId="43" fontId="6" fillId="0" borderId="0" xfId="1" quotePrefix="1" applyFont="1" applyFill="1" applyBorder="1"/>
    <xf numFmtId="9" fontId="0" fillId="0" borderId="0" xfId="2" quotePrefix="1" applyFont="1" applyFill="1" applyBorder="1"/>
    <xf numFmtId="164" fontId="0" fillId="0" borderId="0" xfId="2" quotePrefix="1" applyNumberFormat="1" applyFont="1" applyFill="1" applyBorder="1"/>
    <xf numFmtId="165" fontId="6" fillId="0" borderId="0" xfId="2" quotePrefix="1" applyNumberFormat="1" applyFont="1" applyFill="1" applyBorder="1"/>
    <xf numFmtId="10" fontId="6" fillId="0" borderId="0" xfId="2" quotePrefix="1" applyNumberFormat="1" applyFont="1" applyFill="1" applyBorder="1"/>
    <xf numFmtId="43" fontId="6" fillId="0" borderId="0" xfId="1" applyFont="1" applyFill="1" applyBorder="1"/>
    <xf numFmtId="10" fontId="6" fillId="0" borderId="8" xfId="1" applyNumberFormat="1" applyFont="1" applyFill="1" applyBorder="1"/>
    <xf numFmtId="0" fontId="0" fillId="0" borderId="0" xfId="0" quotePrefix="1" applyAlignment="1">
      <alignment horizontal="left"/>
    </xf>
    <xf numFmtId="1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43" fontId="0" fillId="0" borderId="0" xfId="0" applyNumberFormat="1"/>
    <xf numFmtId="10" fontId="0" fillId="0" borderId="0" xfId="2" applyNumberFormat="1" applyFont="1" applyFill="1"/>
    <xf numFmtId="0" fontId="1" fillId="0" borderId="0" xfId="0" quotePrefix="1" applyFont="1" applyAlignment="1">
      <alignment horizontal="left"/>
    </xf>
    <xf numFmtId="0" fontId="0" fillId="0" borderId="0" xfId="0" applyAlignment="1">
      <alignment horizontal="left" vertical="center"/>
    </xf>
    <xf numFmtId="43" fontId="1" fillId="0" borderId="0" xfId="1" quotePrefix="1" applyFont="1" applyFill="1" applyBorder="1" applyProtection="1">
      <protection locked="0"/>
    </xf>
    <xf numFmtId="43" fontId="1" fillId="0" borderId="0" xfId="1" quotePrefix="1" applyFont="1" applyFill="1" applyBorder="1"/>
    <xf numFmtId="165" fontId="1" fillId="0" borderId="0" xfId="3" quotePrefix="1" applyNumberFormat="1" applyFont="1" applyFill="1" applyBorder="1"/>
    <xf numFmtId="43" fontId="1" fillId="0" borderId="0" xfId="1" applyFont="1" applyFill="1" applyBorder="1"/>
    <xf numFmtId="43" fontId="0" fillId="0" borderId="0" xfId="1" applyFont="1"/>
    <xf numFmtId="166" fontId="0" fillId="0" borderId="0" xfId="1" applyNumberFormat="1" applyFont="1"/>
    <xf numFmtId="0" fontId="0" fillId="0" borderId="7" xfId="0" quotePrefix="1" applyBorder="1" applyAlignment="1">
      <alignment horizontal="right"/>
    </xf>
    <xf numFmtId="0" fontId="0" fillId="0" borderId="0" xfId="0" quotePrefix="1"/>
    <xf numFmtId="43" fontId="0" fillId="0" borderId="0" xfId="1" quotePrefix="1" applyFont="1" applyFill="1" applyBorder="1" applyProtection="1">
      <protection locked="0"/>
    </xf>
    <xf numFmtId="43" fontId="0" fillId="0" borderId="0" xfId="1" quotePrefix="1" applyFont="1" applyFill="1" applyBorder="1"/>
    <xf numFmtId="164" fontId="0" fillId="0" borderId="0" xfId="3" quotePrefix="1" applyFont="1" applyFill="1" applyBorder="1"/>
    <xf numFmtId="10" fontId="0" fillId="0" borderId="0" xfId="2" quotePrefix="1" applyNumberFormat="1" applyFont="1" applyFill="1" applyBorder="1"/>
    <xf numFmtId="43" fontId="0" fillId="0" borderId="0" xfId="1" applyFont="1" applyFill="1" applyBorder="1"/>
    <xf numFmtId="10" fontId="1" fillId="0" borderId="8" xfId="2" applyNumberFormat="1" applyFont="1" applyFill="1" applyBorder="1"/>
    <xf numFmtId="43" fontId="1" fillId="0" borderId="0" xfId="1" applyFont="1" applyFill="1" applyBorder="1" applyProtection="1">
      <protection locked="0"/>
    </xf>
    <xf numFmtId="0" fontId="1" fillId="0" borderId="0" xfId="0" quotePrefix="1" applyFont="1"/>
    <xf numFmtId="9" fontId="1" fillId="0" borderId="0" xfId="2" quotePrefix="1" applyFont="1" applyFill="1" applyBorder="1"/>
    <xf numFmtId="164" fontId="1" fillId="0" borderId="0" xfId="2" quotePrefix="1" applyNumberFormat="1" applyFont="1" applyFill="1" applyBorder="1"/>
    <xf numFmtId="10" fontId="1" fillId="0" borderId="0" xfId="2" quotePrefix="1" applyNumberFormat="1" applyFont="1" applyFill="1" applyBorder="1"/>
    <xf numFmtId="10" fontId="1" fillId="0" borderId="8" xfId="1" applyNumberFormat="1" applyFont="1" applyFill="1" applyBorder="1"/>
    <xf numFmtId="10" fontId="0" fillId="0" borderId="8" xfId="1" applyNumberFormat="1" applyFont="1" applyFill="1" applyBorder="1"/>
    <xf numFmtId="165" fontId="0" fillId="0" borderId="0" xfId="3" quotePrefix="1" applyNumberFormat="1" applyFont="1" applyFill="1" applyBorder="1"/>
    <xf numFmtId="0" fontId="7" fillId="0" borderId="0" xfId="0" quotePrefix="1" applyFont="1" applyAlignment="1">
      <alignment horizontal="left"/>
    </xf>
    <xf numFmtId="43" fontId="7" fillId="0" borderId="0" xfId="1" quotePrefix="1" applyFont="1" applyFill="1" applyBorder="1" applyProtection="1">
      <protection locked="0"/>
    </xf>
    <xf numFmtId="43" fontId="7" fillId="0" borderId="0" xfId="1" quotePrefix="1" applyFont="1" applyFill="1" applyBorder="1"/>
    <xf numFmtId="9" fontId="7" fillId="0" borderId="0" xfId="2" quotePrefix="1" applyFont="1" applyFill="1" applyBorder="1"/>
    <xf numFmtId="164" fontId="7" fillId="0" borderId="0" xfId="2" quotePrefix="1" applyNumberFormat="1" applyFont="1" applyFill="1" applyBorder="1"/>
    <xf numFmtId="165" fontId="7" fillId="0" borderId="0" xfId="3" quotePrefix="1" applyNumberFormat="1" applyFont="1" applyFill="1" applyBorder="1"/>
    <xf numFmtId="164" fontId="7" fillId="0" borderId="0" xfId="3" quotePrefix="1" applyFont="1" applyFill="1" applyBorder="1"/>
    <xf numFmtId="43" fontId="7" fillId="0" borderId="0" xfId="1" applyFont="1" applyFill="1" applyBorder="1"/>
    <xf numFmtId="0" fontId="1" fillId="0" borderId="7" xfId="0" quotePrefix="1" applyFont="1" applyBorder="1" applyAlignment="1">
      <alignment horizontal="right"/>
    </xf>
    <xf numFmtId="164" fontId="1" fillId="0" borderId="0" xfId="3" quotePrefix="1" applyFont="1" applyFill="1" applyBorder="1"/>
    <xf numFmtId="0" fontId="1" fillId="0" borderId="7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43" fontId="1" fillId="0" borderId="0" xfId="1" applyFont="1" applyFill="1" applyProtection="1">
      <protection locked="0"/>
    </xf>
    <xf numFmtId="43" fontId="1" fillId="0" borderId="0" xfId="1" applyFont="1" applyFill="1"/>
    <xf numFmtId="9" fontId="1" fillId="0" borderId="0" xfId="2" applyFont="1" applyFill="1" applyBorder="1"/>
    <xf numFmtId="164" fontId="1" fillId="0" borderId="0" xfId="2" applyNumberFormat="1" applyFont="1" applyFill="1" applyBorder="1"/>
    <xf numFmtId="165" fontId="1" fillId="0" borderId="0" xfId="3" applyNumberFormat="1" applyFont="1" applyFill="1"/>
    <xf numFmtId="9" fontId="1" fillId="0" borderId="0" xfId="2" applyFont="1" applyFill="1"/>
    <xf numFmtId="164" fontId="1" fillId="0" borderId="0" xfId="2" applyNumberFormat="1" applyFont="1" applyFill="1"/>
    <xf numFmtId="0" fontId="0" fillId="0" borderId="7" xfId="0" applyBorder="1" applyAlignment="1">
      <alignment horizontal="right"/>
    </xf>
    <xf numFmtId="0" fontId="0" fillId="0" borderId="0" xfId="0" applyAlignment="1">
      <alignment horizontal="left"/>
    </xf>
    <xf numFmtId="43" fontId="0" fillId="0" borderId="0" xfId="1" applyFont="1" applyFill="1" applyProtection="1">
      <protection locked="0"/>
    </xf>
    <xf numFmtId="43" fontId="0" fillId="0" borderId="0" xfId="1" applyFont="1" applyFill="1"/>
    <xf numFmtId="9" fontId="0" fillId="0" borderId="0" xfId="2" applyFont="1" applyFill="1" applyBorder="1"/>
    <xf numFmtId="164" fontId="0" fillId="0" borderId="0" xfId="2" applyNumberFormat="1" applyFont="1" applyFill="1"/>
    <xf numFmtId="165" fontId="0" fillId="0" borderId="0" xfId="3" applyNumberFormat="1" applyFont="1" applyFill="1"/>
    <xf numFmtId="0" fontId="0" fillId="0" borderId="0" xfId="0" quotePrefix="1" applyAlignment="1">
      <alignment horizontal="right"/>
    </xf>
    <xf numFmtId="0" fontId="6" fillId="0" borderId="0" xfId="0" applyFont="1"/>
    <xf numFmtId="166" fontId="6" fillId="0" borderId="0" xfId="1" applyNumberFormat="1" applyFont="1"/>
    <xf numFmtId="43" fontId="6" fillId="0" borderId="0" xfId="1" applyFont="1"/>
    <xf numFmtId="0" fontId="6" fillId="0" borderId="0" xfId="0" quotePrefix="1" applyFont="1" applyAlignment="1">
      <alignment horizontal="right"/>
    </xf>
    <xf numFmtId="0" fontId="6" fillId="0" borderId="0" xfId="0" quotePrefix="1" applyFont="1"/>
    <xf numFmtId="0" fontId="1" fillId="0" borderId="0" xfId="0" quotePrefix="1" applyFont="1" applyAlignment="1">
      <alignment horizontal="right"/>
    </xf>
    <xf numFmtId="43" fontId="6" fillId="0" borderId="0" xfId="0" applyNumberFormat="1" applyFont="1"/>
    <xf numFmtId="9" fontId="0" fillId="0" borderId="0" xfId="2" applyFont="1"/>
    <xf numFmtId="10" fontId="6" fillId="0" borderId="8" xfId="2" applyNumberFormat="1" applyFont="1" applyFill="1" applyBorder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4">
    <cellStyle name="Moeda 2" xfId="3" xr:uid="{F5FDC736-C26D-4847-86C2-E612302ED91B}"/>
    <cellStyle name="Normal" xfId="0" builtinId="0"/>
    <cellStyle name="Porcentagem" xfId="2" builtinId="5"/>
    <cellStyle name="Vírgula" xfId="1" builtinId="3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R$&quot;* #,##0.00_-;\-&quot;R$&quot;* #,##0.00_-;_-&quot;R$&quot;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5" formatCode="#,##0_ ;\-#,##0\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&quot;R$&quot;* #,##0.00_-;\-&quot;R$&quot;* #,##0.00_-;_-&quot;R$&quot;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double">
          <color theme="1"/>
        </bottom>
      </border>
    </dxf>
    <dxf>
      <border outline="0"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rgb="FF8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85725</xdr:colOff>
      <xdr:row>0</xdr:row>
      <xdr:rowOff>104775</xdr:rowOff>
    </xdr:from>
    <xdr:ext cx="1667970" cy="1038225"/>
    <xdr:pic>
      <xdr:nvPicPr>
        <xdr:cNvPr id="2" name="image1.png">
          <a:extLst>
            <a:ext uri="{FF2B5EF4-FFF2-40B4-BE49-F238E27FC236}">
              <a16:creationId xmlns:a16="http://schemas.microsoft.com/office/drawing/2014/main" id="{B30D3D27-F635-469F-B5CE-34F224690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5905" y="104775"/>
          <a:ext cx="1667970" cy="10382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Users\Administrador\Downloads\Tabela%20Custos%20Oficial%20%20-%2011202520251205151242.xlsx" TargetMode="External"/><Relationship Id="rId1" Type="http://schemas.openxmlformats.org/officeDocument/2006/relationships/externalLinkPath" Target="/Users/Administrador/Downloads/Tabela%20Custos%20Oficial%20%20-%201120252025120515124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ações"/>
      <sheetName val="Informações (2)"/>
      <sheetName val="Estrutura Loja"/>
      <sheetName val="Sugestão - Loja"/>
      <sheetName val="Estrutura Delivery"/>
      <sheetName val="Cardápio Digital"/>
      <sheetName val="APP - Chiquinho"/>
      <sheetName val="Sugestão - Delivery"/>
      <sheetName val="Produto"/>
      <sheetName val="Import_BIP"/>
      <sheetName val="Comparativo"/>
      <sheetName val="Promocões - Ifood"/>
    </sheetNames>
    <sheetDataSet>
      <sheetData sheetId="0">
        <row r="6">
          <cell r="H6">
            <v>8.2000000000000003E-2</v>
          </cell>
        </row>
        <row r="15">
          <cell r="H15">
            <v>0.37</v>
          </cell>
        </row>
        <row r="19">
          <cell r="H19">
            <v>0.05</v>
          </cell>
        </row>
        <row r="20">
          <cell r="H20">
            <v>0.02</v>
          </cell>
        </row>
      </sheetData>
      <sheetData sheetId="1" refreshError="1"/>
      <sheetData sheetId="2">
        <row r="3">
          <cell r="B3">
            <v>110000001</v>
          </cell>
          <cell r="C3">
            <v>1100</v>
          </cell>
          <cell r="D3" t="str">
            <v>Ad Nutela</v>
          </cell>
          <cell r="E3">
            <v>1.268454</v>
          </cell>
          <cell r="F3">
            <v>4.5627841726618703</v>
          </cell>
          <cell r="G3">
            <v>4.375204367567747</v>
          </cell>
          <cell r="H3">
            <v>216000050</v>
          </cell>
          <cell r="I3" t="str">
            <v>Nutella</v>
          </cell>
          <cell r="J3">
            <v>1.268454</v>
          </cell>
          <cell r="K3">
            <v>1.7999999999999999E-2</v>
          </cell>
          <cell r="L3" t="str">
            <v>Kg</v>
          </cell>
          <cell r="M3">
            <v>70.469666666666669</v>
          </cell>
        </row>
        <row r="4">
          <cell r="B4">
            <v>110000002</v>
          </cell>
          <cell r="C4">
            <v>1100</v>
          </cell>
          <cell r="D4" t="str">
            <v>Ad Leite Ninho</v>
          </cell>
          <cell r="E4">
            <v>0.61893333333333345</v>
          </cell>
          <cell r="F4">
            <v>2.226378896882494</v>
          </cell>
          <cell r="G4">
            <v>2.1348506317401061</v>
          </cell>
          <cell r="H4">
            <v>216000017</v>
          </cell>
          <cell r="I4" t="str">
            <v>Leite em Pó Ninho</v>
          </cell>
          <cell r="J4">
            <v>0.61893333333333345</v>
          </cell>
          <cell r="K4">
            <v>0.01</v>
          </cell>
          <cell r="L4" t="str">
            <v>Kg</v>
          </cell>
          <cell r="M4">
            <v>61.893333333333338</v>
          </cell>
        </row>
        <row r="5">
          <cell r="B5">
            <v>110000003</v>
          </cell>
          <cell r="C5">
            <v>1100</v>
          </cell>
          <cell r="D5" t="str">
            <v>Ad Chantilly</v>
          </cell>
          <cell r="E5">
            <v>0.62576469140624991</v>
          </cell>
          <cell r="F5">
            <v>2.2509521273606108</v>
          </cell>
          <cell r="G5">
            <v>2.1584136365294353</v>
          </cell>
          <cell r="H5">
            <v>216000004</v>
          </cell>
          <cell r="I5" t="str">
            <v>Chantilly</v>
          </cell>
          <cell r="J5">
            <v>0.55339349999999998</v>
          </cell>
          <cell r="K5">
            <v>1.9800000000000002E-2</v>
          </cell>
          <cell r="L5" t="str">
            <v>Lt</v>
          </cell>
          <cell r="M5">
            <v>27.949166666666663</v>
          </cell>
        </row>
        <row r="6">
          <cell r="H6">
            <v>201000028</v>
          </cell>
          <cell r="I6" t="str">
            <v>Gás Oxido Nitroso/1Kg</v>
          </cell>
          <cell r="J6">
            <v>1.4024999999999999E-2</v>
          </cell>
          <cell r="K6">
            <v>1.4999999999999999E-4</v>
          </cell>
          <cell r="L6" t="str">
            <v>Kg</v>
          </cell>
          <cell r="M6">
            <v>93.5</v>
          </cell>
        </row>
        <row r="7">
          <cell r="H7">
            <v>210900012</v>
          </cell>
          <cell r="I7" t="str">
            <v>Suflair Nestle</v>
          </cell>
          <cell r="J7">
            <v>5.8346191406250004E-2</v>
          </cell>
          <cell r="K7">
            <v>5.0000000000000001E-4</v>
          </cell>
          <cell r="L7" t="str">
            <v>Kg</v>
          </cell>
          <cell r="M7">
            <v>116.6923828125</v>
          </cell>
        </row>
        <row r="8">
          <cell r="B8">
            <v>110000004</v>
          </cell>
          <cell r="C8">
            <v>1100</v>
          </cell>
          <cell r="D8" t="str">
            <v>Ad Ganache Chiquinho</v>
          </cell>
          <cell r="E8">
            <v>1.2441</v>
          </cell>
          <cell r="F8">
            <v>4.4751798561151075</v>
          </cell>
          <cell r="G8">
            <v>4.2912015364302007</v>
          </cell>
          <cell r="H8">
            <v>216100007</v>
          </cell>
          <cell r="I8" t="str">
            <v>Ganache Chiquinho</v>
          </cell>
          <cell r="J8">
            <v>1.2441</v>
          </cell>
          <cell r="K8">
            <v>0.03</v>
          </cell>
          <cell r="L8" t="str">
            <v>Kg</v>
          </cell>
          <cell r="M8">
            <v>41.47</v>
          </cell>
        </row>
        <row r="9">
          <cell r="B9">
            <v>110000005</v>
          </cell>
          <cell r="C9">
            <v>1100</v>
          </cell>
          <cell r="D9" t="str">
            <v>Ad stracciatela meia amarga</v>
          </cell>
          <cell r="E9">
            <v>0.61691499999999999</v>
          </cell>
          <cell r="F9">
            <v>2.2191187050359709</v>
          </cell>
          <cell r="G9">
            <v>2.1278889123437321</v>
          </cell>
          <cell r="H9">
            <v>210900005</v>
          </cell>
          <cell r="I9" t="str">
            <v>Stracciatella Meio Amarga</v>
          </cell>
          <cell r="J9">
            <v>0.61691499999999999</v>
          </cell>
          <cell r="K9">
            <v>0.02</v>
          </cell>
          <cell r="L9" t="str">
            <v>Kg</v>
          </cell>
          <cell r="M9">
            <v>30.845749999999999</v>
          </cell>
        </row>
        <row r="10">
          <cell r="B10">
            <v>110000006</v>
          </cell>
          <cell r="C10">
            <v>1100</v>
          </cell>
          <cell r="D10" t="str">
            <v>Ad Chocolate Granulado</v>
          </cell>
          <cell r="E10">
            <v>0.42475247524752474</v>
          </cell>
          <cell r="F10">
            <v>1.5278866016098012</v>
          </cell>
          <cell r="G10">
            <v>1.4650739284500516</v>
          </cell>
          <cell r="H10">
            <v>210900009</v>
          </cell>
          <cell r="I10" t="str">
            <v>Chocolate Granulado</v>
          </cell>
          <cell r="J10">
            <v>0.42475247524752474</v>
          </cell>
          <cell r="K10">
            <v>0.02</v>
          </cell>
          <cell r="L10" t="str">
            <v>Kg</v>
          </cell>
          <cell r="M10">
            <v>21.237623762376238</v>
          </cell>
        </row>
        <row r="11">
          <cell r="B11">
            <v>110000007</v>
          </cell>
          <cell r="C11">
            <v>1100</v>
          </cell>
          <cell r="D11" t="str">
            <v>Ad Cappuccino</v>
          </cell>
          <cell r="E11">
            <v>0.86300500000000002</v>
          </cell>
          <cell r="F11">
            <v>3.1043345323741005</v>
          </cell>
          <cell r="G11">
            <v>2.9767127899260073</v>
          </cell>
          <cell r="H11">
            <v>216000023</v>
          </cell>
          <cell r="I11" t="str">
            <v>Cappuccino</v>
          </cell>
          <cell r="J11">
            <v>0.86300500000000002</v>
          </cell>
          <cell r="K11">
            <v>1.2999999999999999E-2</v>
          </cell>
          <cell r="L11" t="str">
            <v>Kg</v>
          </cell>
          <cell r="M11">
            <v>66.385000000000005</v>
          </cell>
        </row>
        <row r="12">
          <cell r="B12">
            <v>110000008</v>
          </cell>
          <cell r="C12">
            <v>1100</v>
          </cell>
          <cell r="D12" t="str">
            <v>Ad stracciatela Branca</v>
          </cell>
          <cell r="E12">
            <v>0.74230000000000018</v>
          </cell>
          <cell r="F12">
            <v>2.6701438848920866</v>
          </cell>
          <cell r="G12">
            <v>2.5603720765952409</v>
          </cell>
          <cell r="H12">
            <v>210900006</v>
          </cell>
          <cell r="I12" t="str">
            <v>Stracciatella Branca</v>
          </cell>
          <cell r="J12">
            <v>0.74230000000000018</v>
          </cell>
          <cell r="K12">
            <v>0.02</v>
          </cell>
          <cell r="L12" t="str">
            <v>Kg</v>
          </cell>
          <cell r="M12">
            <v>37.115000000000009</v>
          </cell>
        </row>
        <row r="13">
          <cell r="B13">
            <v>110000009</v>
          </cell>
          <cell r="C13">
            <v>1100</v>
          </cell>
          <cell r="D13" t="str">
            <v>Ad. Creme de Menta</v>
          </cell>
          <cell r="E13">
            <v>0.40559999999999996</v>
          </cell>
          <cell r="F13">
            <v>1.4589928057553954</v>
          </cell>
          <cell r="G13">
            <v>1.399012413130849</v>
          </cell>
          <cell r="H13">
            <v>216000032</v>
          </cell>
          <cell r="I13" t="str">
            <v>Creme de Menta</v>
          </cell>
          <cell r="J13">
            <v>0.40559999999999996</v>
          </cell>
          <cell r="K13">
            <v>6.0000000000000001E-3</v>
          </cell>
          <cell r="L13" t="str">
            <v>kg</v>
          </cell>
          <cell r="M13">
            <v>67.599999999999994</v>
          </cell>
        </row>
        <row r="14">
          <cell r="B14">
            <v>110000010</v>
          </cell>
          <cell r="C14">
            <v>1100</v>
          </cell>
          <cell r="D14" t="str">
            <v>Ad Ovomaltine</v>
          </cell>
          <cell r="E14">
            <v>0.46487466666666666</v>
          </cell>
          <cell r="F14">
            <v>1.6722110311750598</v>
          </cell>
          <cell r="G14">
            <v>1.603465062171431</v>
          </cell>
          <cell r="H14">
            <v>210900004</v>
          </cell>
          <cell r="I14" t="str">
            <v>Ovomaltine</v>
          </cell>
          <cell r="J14">
            <v>0.46487466666666666</v>
          </cell>
          <cell r="K14">
            <v>1.2E-2</v>
          </cell>
          <cell r="L14" t="str">
            <v>Kg</v>
          </cell>
          <cell r="M14">
            <v>38.739555555555555</v>
          </cell>
        </row>
        <row r="15">
          <cell r="B15">
            <v>110000011</v>
          </cell>
          <cell r="C15">
            <v>1100</v>
          </cell>
          <cell r="D15" t="str">
            <v>Ad Doce De Leite</v>
          </cell>
          <cell r="E15">
            <v>0.327146875</v>
          </cell>
          <cell r="F15">
            <v>1.1767873201438848</v>
          </cell>
          <cell r="G15">
            <v>1.1284086268293054</v>
          </cell>
          <cell r="H15">
            <v>216000015</v>
          </cell>
          <cell r="I15" t="str">
            <v>Doce De Leite</v>
          </cell>
          <cell r="J15">
            <v>0.327146875</v>
          </cell>
          <cell r="K15">
            <v>1.4999999999999999E-2</v>
          </cell>
          <cell r="L15" t="str">
            <v>Kg</v>
          </cell>
          <cell r="M15">
            <v>21.809791666666669</v>
          </cell>
        </row>
        <row r="16">
          <cell r="B16">
            <v>110000012</v>
          </cell>
          <cell r="C16">
            <v>1100</v>
          </cell>
          <cell r="D16" t="str">
            <v>Ad Calda Trufada</v>
          </cell>
          <cell r="E16">
            <v>0.66857142857142848</v>
          </cell>
          <cell r="F16">
            <v>2.4049331963001022</v>
          </cell>
          <cell r="G16">
            <v>2.3060644172486522</v>
          </cell>
          <cell r="H16">
            <v>210900018</v>
          </cell>
          <cell r="I16" t="str">
            <v>Trufada Chiquinho</v>
          </cell>
          <cell r="J16">
            <v>0.66857142857142848</v>
          </cell>
          <cell r="K16">
            <v>1.4999999999999999E-2</v>
          </cell>
          <cell r="L16" t="str">
            <v>Kg</v>
          </cell>
          <cell r="M16">
            <v>44.571428571428569</v>
          </cell>
        </row>
        <row r="17">
          <cell r="B17">
            <v>110000013</v>
          </cell>
          <cell r="C17">
            <v>1100</v>
          </cell>
          <cell r="D17" t="str">
            <v>Ad Suco de limão</v>
          </cell>
          <cell r="E17">
            <v>0.255</v>
          </cell>
          <cell r="F17">
            <v>0.91726618705035967</v>
          </cell>
          <cell r="G17">
            <v>0.87955662068137719</v>
          </cell>
          <cell r="H17">
            <v>216000056</v>
          </cell>
          <cell r="I17" t="str">
            <v>Limão-taiti</v>
          </cell>
          <cell r="J17">
            <v>0.255</v>
          </cell>
          <cell r="K17">
            <v>8.5000000000000006E-2</v>
          </cell>
          <cell r="L17" t="str">
            <v>kg</v>
          </cell>
          <cell r="M17">
            <v>3</v>
          </cell>
        </row>
        <row r="18">
          <cell r="B18">
            <v>110000014</v>
          </cell>
          <cell r="C18">
            <v>1100</v>
          </cell>
          <cell r="D18" t="str">
            <v>Ad Farinha Láctea</v>
          </cell>
          <cell r="E18">
            <v>0.45166000000000006</v>
          </cell>
          <cell r="F18">
            <v>1.6246762589928059</v>
          </cell>
          <cell r="G18">
            <v>1.5578844835174543</v>
          </cell>
          <cell r="H18">
            <v>216000065</v>
          </cell>
          <cell r="I18" t="str">
            <v>Farinha Láctea</v>
          </cell>
          <cell r="J18">
            <v>0.45166000000000006</v>
          </cell>
          <cell r="K18">
            <v>1.2E-2</v>
          </cell>
          <cell r="L18" t="str">
            <v>Un</v>
          </cell>
          <cell r="M18">
            <v>37.638333333333335</v>
          </cell>
        </row>
        <row r="19">
          <cell r="B19">
            <v>110000015</v>
          </cell>
          <cell r="C19">
            <v>1100</v>
          </cell>
          <cell r="D19" t="str">
            <v>Ad Banana</v>
          </cell>
          <cell r="E19">
            <v>0.12768000000000002</v>
          </cell>
          <cell r="F19">
            <v>0.45928057553956836</v>
          </cell>
          <cell r="G19">
            <v>0.44039917383764016</v>
          </cell>
          <cell r="H19">
            <v>216000018</v>
          </cell>
          <cell r="I19" t="str">
            <v>Banana Nanica</v>
          </cell>
          <cell r="J19">
            <v>0.12768000000000002</v>
          </cell>
          <cell r="K19">
            <v>3.2000000000000001E-2</v>
          </cell>
          <cell r="L19" t="str">
            <v>Kg</v>
          </cell>
          <cell r="M19">
            <v>3.99</v>
          </cell>
        </row>
        <row r="20">
          <cell r="B20">
            <v>110000016</v>
          </cell>
          <cell r="C20">
            <v>1100</v>
          </cell>
          <cell r="D20" t="str">
            <v>Ad Mescla Frutas Vermelhas</v>
          </cell>
          <cell r="E20">
            <v>1.0803</v>
          </cell>
          <cell r="F20">
            <v>3.8859712230215826</v>
          </cell>
          <cell r="G20">
            <v>3.7262157542042811</v>
          </cell>
          <cell r="H20">
            <v>216099999</v>
          </cell>
          <cell r="I20" t="str">
            <v>Mescla de Frutas Vermelhas</v>
          </cell>
          <cell r="J20">
            <v>1.0803</v>
          </cell>
          <cell r="K20">
            <v>0.03</v>
          </cell>
          <cell r="L20" t="str">
            <v>Kg</v>
          </cell>
          <cell r="M20">
            <v>36.010000000000005</v>
          </cell>
        </row>
        <row r="21">
          <cell r="B21">
            <v>110000017</v>
          </cell>
          <cell r="C21">
            <v>1100</v>
          </cell>
          <cell r="D21" t="str">
            <v>Ad Mescla Maracuja</v>
          </cell>
          <cell r="E21">
            <v>0.80785714285714294</v>
          </cell>
          <cell r="F21">
            <v>2.9059609455292907</v>
          </cell>
          <cell r="G21">
            <v>2.7864945041754554</v>
          </cell>
          <cell r="H21">
            <v>210400015</v>
          </cell>
          <cell r="I21" t="str">
            <v>Mescla de Maracujá</v>
          </cell>
          <cell r="J21">
            <v>0.80785714285714294</v>
          </cell>
          <cell r="K21">
            <v>0.03</v>
          </cell>
          <cell r="L21" t="str">
            <v>Kg</v>
          </cell>
          <cell r="M21">
            <v>26.928571428571431</v>
          </cell>
        </row>
        <row r="22">
          <cell r="B22">
            <v>110000018</v>
          </cell>
          <cell r="C22">
            <v>1100</v>
          </cell>
          <cell r="D22" t="str">
            <v>Ad Mescla Morango</v>
          </cell>
          <cell r="E22">
            <v>0.96608571428571421</v>
          </cell>
          <cell r="F22">
            <v>3.4751284686536481</v>
          </cell>
          <cell r="G22">
            <v>3.3322630829243027</v>
          </cell>
          <cell r="H22">
            <v>210400016</v>
          </cell>
          <cell r="I22" t="str">
            <v>Mescla de morango</v>
          </cell>
          <cell r="J22">
            <v>0.96608571428571421</v>
          </cell>
          <cell r="K22">
            <v>0.03</v>
          </cell>
          <cell r="L22" t="str">
            <v>Kg</v>
          </cell>
          <cell r="M22">
            <v>32.202857142857141</v>
          </cell>
        </row>
        <row r="23">
          <cell r="B23">
            <v>110000019</v>
          </cell>
          <cell r="C23">
            <v>1100</v>
          </cell>
          <cell r="D23" t="str">
            <v>Ad Leite Condensado</v>
          </cell>
          <cell r="E23">
            <v>0.7024683544303798</v>
          </cell>
          <cell r="F23">
            <v>2.5268645842819417</v>
          </cell>
          <cell r="G23">
            <v>2.4229831057191871</v>
          </cell>
          <cell r="H23">
            <v>216000013</v>
          </cell>
          <cell r="I23" t="str">
            <v>Leite Condensado</v>
          </cell>
          <cell r="J23">
            <v>0.7024683544303798</v>
          </cell>
          <cell r="K23">
            <v>2.5000000000000001E-2</v>
          </cell>
          <cell r="L23" t="str">
            <v>Kg</v>
          </cell>
          <cell r="M23">
            <v>28.098734177215189</v>
          </cell>
        </row>
        <row r="24">
          <cell r="B24">
            <v>110000020</v>
          </cell>
          <cell r="C24">
            <v>1100</v>
          </cell>
          <cell r="D24" t="str">
            <v>Ad Suflair (30g)</v>
          </cell>
          <cell r="E24">
            <v>3.500771484375</v>
          </cell>
          <cell r="F24">
            <v>12.592703181205035</v>
          </cell>
          <cell r="G24">
            <v>12.075006810096484</v>
          </cell>
          <cell r="H24">
            <v>210900012</v>
          </cell>
          <cell r="I24" t="str">
            <v>Suflair Nestle</v>
          </cell>
          <cell r="J24">
            <v>3.500771484375</v>
          </cell>
          <cell r="K24">
            <v>0.03</v>
          </cell>
          <cell r="L24" t="str">
            <v>Kg</v>
          </cell>
          <cell r="M24">
            <v>116.6923828125</v>
          </cell>
        </row>
        <row r="25">
          <cell r="B25">
            <v>110000021</v>
          </cell>
          <cell r="C25">
            <v>1100</v>
          </cell>
          <cell r="D25" t="str">
            <v>Ad Suflair (20g)</v>
          </cell>
          <cell r="E25">
            <v>2.3338476562500001</v>
          </cell>
          <cell r="F25">
            <v>8.3951354541366907</v>
          </cell>
          <cell r="G25">
            <v>8.0500045400643234</v>
          </cell>
          <cell r="H25">
            <v>210900012</v>
          </cell>
          <cell r="I25" t="str">
            <v>Suflair Nestle</v>
          </cell>
          <cell r="J25">
            <v>2.3338476562500001</v>
          </cell>
          <cell r="K25">
            <v>0.02</v>
          </cell>
          <cell r="L25" t="str">
            <v>Kg</v>
          </cell>
          <cell r="M25">
            <v>116.6923828125</v>
          </cell>
        </row>
        <row r="26">
          <cell r="B26">
            <v>110000022</v>
          </cell>
          <cell r="C26">
            <v>1100</v>
          </cell>
          <cell r="D26" t="str">
            <v>Ad Suflair Duo</v>
          </cell>
          <cell r="E26">
            <v>3.500771484375</v>
          </cell>
          <cell r="F26">
            <v>12.592703181205035</v>
          </cell>
          <cell r="G26">
            <v>12.075006810096484</v>
          </cell>
          <cell r="H26">
            <v>210900013</v>
          </cell>
          <cell r="I26" t="str">
            <v>Suflair Duo</v>
          </cell>
          <cell r="J26">
            <v>3.500771484375</v>
          </cell>
          <cell r="K26">
            <v>0.03</v>
          </cell>
          <cell r="L26" t="str">
            <v>Kg</v>
          </cell>
          <cell r="M26">
            <v>116.6923828125</v>
          </cell>
        </row>
        <row r="27">
          <cell r="B27">
            <v>110000023</v>
          </cell>
          <cell r="C27">
            <v>1100</v>
          </cell>
          <cell r="D27" t="str">
            <v>Ad Kit Kat</v>
          </cell>
          <cell r="E27">
            <v>1.7103219126506024</v>
          </cell>
          <cell r="F27">
            <v>6.152237095865476</v>
          </cell>
          <cell r="G27">
            <v>5.8993135755618562</v>
          </cell>
          <cell r="H27">
            <v>210900011</v>
          </cell>
          <cell r="I27" t="str">
            <v>Kit Kat</v>
          </cell>
          <cell r="J27">
            <v>1.7103219126506024</v>
          </cell>
          <cell r="K27">
            <v>2.07E-2</v>
          </cell>
          <cell r="L27" t="str">
            <v>Kg</v>
          </cell>
          <cell r="M27">
            <v>82.624246987951807</v>
          </cell>
        </row>
        <row r="28">
          <cell r="B28">
            <v>110000024</v>
          </cell>
          <cell r="C28">
            <v>1100</v>
          </cell>
          <cell r="D28" t="str">
            <v>Ad Polpa de Maracujá</v>
          </cell>
          <cell r="E28">
            <v>0.8482024390243903</v>
          </cell>
          <cell r="F28">
            <v>3.0510879101596768</v>
          </cell>
          <cell r="G28">
            <v>2.9256551800862529</v>
          </cell>
          <cell r="H28">
            <v>210400018</v>
          </cell>
          <cell r="I28" t="str">
            <v>Polpa de maracujá</v>
          </cell>
          <cell r="J28">
            <v>0.8482024390243903</v>
          </cell>
          <cell r="K28">
            <v>0.03</v>
          </cell>
          <cell r="L28" t="str">
            <v>Kg</v>
          </cell>
          <cell r="M28">
            <v>28.273414634146345</v>
          </cell>
        </row>
        <row r="29">
          <cell r="B29">
            <v>110000025</v>
          </cell>
          <cell r="C29">
            <v>1100</v>
          </cell>
          <cell r="D29" t="str">
            <v>Ad Polpa de Morango</v>
          </cell>
          <cell r="E29">
            <v>0.77751890243902444</v>
          </cell>
          <cell r="F29">
            <v>2.7968305843130374</v>
          </cell>
          <cell r="G29">
            <v>2.6818505817457323</v>
          </cell>
          <cell r="H29">
            <v>210400017</v>
          </cell>
          <cell r="I29" t="str">
            <v>Polpa de morango</v>
          </cell>
          <cell r="J29">
            <v>0.77751890243902444</v>
          </cell>
          <cell r="K29">
            <v>2.75E-2</v>
          </cell>
          <cell r="L29" t="str">
            <v>Kg</v>
          </cell>
          <cell r="M29">
            <v>28.273414634146345</v>
          </cell>
        </row>
        <row r="30">
          <cell r="B30">
            <v>110000026</v>
          </cell>
          <cell r="C30">
            <v>1100</v>
          </cell>
          <cell r="D30" t="str">
            <v>Ad Polpa de Frutas Vermelhas</v>
          </cell>
          <cell r="E30">
            <v>0.97674390243902443</v>
          </cell>
          <cell r="F30">
            <v>3.5134672749605191</v>
          </cell>
          <cell r="G30">
            <v>3.3690257494133684</v>
          </cell>
          <cell r="H30">
            <v>210400020</v>
          </cell>
          <cell r="I30" t="str">
            <v>Polpa de Frutas Vermelhas</v>
          </cell>
          <cell r="J30">
            <v>0.97674390243902443</v>
          </cell>
          <cell r="K30">
            <v>2.5000000000000001E-2</v>
          </cell>
          <cell r="L30" t="str">
            <v>kg</v>
          </cell>
          <cell r="M30">
            <v>39.069756097560976</v>
          </cell>
        </row>
        <row r="31">
          <cell r="B31">
            <v>110000027</v>
          </cell>
          <cell r="C31">
            <v>1100</v>
          </cell>
          <cell r="D31" t="str">
            <v>Ad Biscoito Negresco (3 bisc.)</v>
          </cell>
          <cell r="E31">
            <v>0.83850000000000002</v>
          </cell>
          <cell r="F31">
            <v>3.0161870503597119</v>
          </cell>
          <cell r="G31">
            <v>2.8921891232993517</v>
          </cell>
          <cell r="H31">
            <v>216000019</v>
          </cell>
          <cell r="I31" t="str">
            <v>Biscoito Negresco</v>
          </cell>
          <cell r="J31">
            <v>0.83850000000000002</v>
          </cell>
          <cell r="K31">
            <v>2.7E-2</v>
          </cell>
          <cell r="L31" t="str">
            <v>Kg</v>
          </cell>
          <cell r="M31">
            <v>31.055555555555557</v>
          </cell>
        </row>
        <row r="32">
          <cell r="B32">
            <v>110000028</v>
          </cell>
          <cell r="C32">
            <v>1100</v>
          </cell>
          <cell r="D32" t="str">
            <v>Ad Biscoito Negresco (2 bisc.)</v>
          </cell>
          <cell r="E32">
            <v>0.55899999999999994</v>
          </cell>
          <cell r="F32">
            <v>2.0107913669064743</v>
          </cell>
          <cell r="G32">
            <v>1.9281260821995676</v>
          </cell>
          <cell r="H32">
            <v>216000019</v>
          </cell>
          <cell r="I32" t="str">
            <v>Biscoito Negresco</v>
          </cell>
          <cell r="J32">
            <v>0.55899999999999994</v>
          </cell>
          <cell r="K32">
            <v>1.7999999999999999E-2</v>
          </cell>
          <cell r="L32" t="str">
            <v>Kg</v>
          </cell>
          <cell r="M32">
            <v>31.055555555555557</v>
          </cell>
        </row>
        <row r="33">
          <cell r="B33">
            <v>110000029</v>
          </cell>
          <cell r="C33">
            <v>1100</v>
          </cell>
          <cell r="D33" t="str">
            <v>Ad Bombom Ouro Branco (2 unid.)</v>
          </cell>
          <cell r="E33">
            <v>2.1093600000000001</v>
          </cell>
          <cell r="F33">
            <v>7.5876258992805754</v>
          </cell>
          <cell r="G33">
            <v>7.2756923662763517</v>
          </cell>
          <cell r="H33">
            <v>210900026</v>
          </cell>
          <cell r="I33" t="str">
            <v>Bombom Ouro Branco</v>
          </cell>
          <cell r="J33">
            <v>2.1093600000000001</v>
          </cell>
          <cell r="K33">
            <v>2</v>
          </cell>
          <cell r="L33" t="str">
            <v>Un</v>
          </cell>
          <cell r="M33">
            <v>1.0546800000000001</v>
          </cell>
        </row>
        <row r="34">
          <cell r="B34">
            <v>110000030</v>
          </cell>
          <cell r="C34">
            <v>1100</v>
          </cell>
          <cell r="D34" t="str">
            <v>Ad Bombom Ouro Branco (1 unid.)</v>
          </cell>
          <cell r="E34">
            <v>1.0546800000000001</v>
          </cell>
          <cell r="F34">
            <v>3.7938129496402877</v>
          </cell>
          <cell r="G34">
            <v>3.6378461831381759</v>
          </cell>
          <cell r="H34">
            <v>210900026</v>
          </cell>
          <cell r="I34" t="str">
            <v>Bombom Ouro Branco</v>
          </cell>
          <cell r="J34">
            <v>1.0546800000000001</v>
          </cell>
          <cell r="K34">
            <v>1</v>
          </cell>
          <cell r="L34" t="str">
            <v>Un</v>
          </cell>
          <cell r="M34">
            <v>1.0546800000000001</v>
          </cell>
        </row>
        <row r="35">
          <cell r="B35">
            <v>110000031</v>
          </cell>
          <cell r="C35">
            <v>1100</v>
          </cell>
          <cell r="D35" t="str">
            <v>Ad Açaí</v>
          </cell>
          <cell r="E35">
            <v>0.83521349999999983</v>
          </cell>
          <cell r="F35">
            <v>3.0043651079136682</v>
          </cell>
          <cell r="G35">
            <v>2.8808531906175108</v>
          </cell>
          <cell r="H35">
            <v>216000005</v>
          </cell>
          <cell r="I35" t="str">
            <v>Açaí Natural</v>
          </cell>
          <cell r="J35">
            <v>0.83521349999999983</v>
          </cell>
          <cell r="K35">
            <v>4.4999999999999998E-2</v>
          </cell>
          <cell r="L35" t="str">
            <v>Kg</v>
          </cell>
          <cell r="M35">
            <v>18.560299999999998</v>
          </cell>
        </row>
        <row r="36">
          <cell r="B36">
            <v>110000032</v>
          </cell>
          <cell r="C36">
            <v>1100</v>
          </cell>
          <cell r="D36" t="str">
            <v>Ad Creme Crocante Ovomaltine</v>
          </cell>
          <cell r="E36">
            <v>1.0437899999999998</v>
          </cell>
          <cell r="F36">
            <v>3.7546402877697829</v>
          </cell>
          <cell r="G36">
            <v>3.6002839415726053</v>
          </cell>
          <cell r="H36">
            <v>216000039</v>
          </cell>
          <cell r="I36" t="str">
            <v>Creme Crocante</v>
          </cell>
          <cell r="J36">
            <v>1.0437899999999998</v>
          </cell>
          <cell r="K36">
            <v>1.7999999999999999E-2</v>
          </cell>
          <cell r="L36" t="str">
            <v>kg</v>
          </cell>
          <cell r="M36">
            <v>57.98833333333333</v>
          </cell>
        </row>
        <row r="37">
          <cell r="B37">
            <v>110000033</v>
          </cell>
          <cell r="C37">
            <v>1100</v>
          </cell>
          <cell r="D37" t="str">
            <v>Ad. Café</v>
          </cell>
          <cell r="E37">
            <v>2.6441249999999998</v>
          </cell>
          <cell r="F37">
            <v>9.5112410071942435</v>
          </cell>
          <cell r="G37">
            <v>9.1202260770946904</v>
          </cell>
          <cell r="H37">
            <v>216000038</v>
          </cell>
          <cell r="I37" t="str">
            <v>Cápsula Ameno</v>
          </cell>
          <cell r="J37">
            <v>2.6441249999999998</v>
          </cell>
          <cell r="K37">
            <v>1</v>
          </cell>
          <cell r="L37" t="str">
            <v>Un</v>
          </cell>
          <cell r="M37">
            <v>2.6441249999999998</v>
          </cell>
        </row>
        <row r="38">
          <cell r="B38">
            <v>110000034</v>
          </cell>
          <cell r="C38">
            <v>1100</v>
          </cell>
          <cell r="D38" t="str">
            <v>Ad Canudinho Biju Wafer</v>
          </cell>
          <cell r="E38">
            <v>0.11329500000000001</v>
          </cell>
          <cell r="F38">
            <v>0.4075359712230216</v>
          </cell>
          <cell r="G38">
            <v>0.39078183270626127</v>
          </cell>
          <cell r="H38">
            <v>216000009</v>
          </cell>
          <cell r="I38" t="str">
            <v>Canudinho Biju Wafer</v>
          </cell>
          <cell r="J38">
            <v>0.11329500000000001</v>
          </cell>
          <cell r="K38">
            <v>3.0000000000000001E-3</v>
          </cell>
          <cell r="L38" t="str">
            <v>un</v>
          </cell>
          <cell r="M38">
            <v>37.765000000000001</v>
          </cell>
        </row>
        <row r="39">
          <cell r="B39">
            <v>110000035</v>
          </cell>
          <cell r="C39">
            <v>1100</v>
          </cell>
          <cell r="D39" t="str">
            <v>Ad Cobertura Chocolate</v>
          </cell>
          <cell r="E39">
            <v>0.18069141914191419</v>
          </cell>
          <cell r="F39">
            <v>0.64996913360400788</v>
          </cell>
          <cell r="G39">
            <v>0.62324836865327204</v>
          </cell>
          <cell r="H39">
            <v>210500004</v>
          </cell>
          <cell r="I39" t="str">
            <v>Cobertura Chocolate</v>
          </cell>
          <cell r="J39">
            <v>0.18069141914191419</v>
          </cell>
          <cell r="K39">
            <v>0.01</v>
          </cell>
          <cell r="L39" t="str">
            <v>Kg</v>
          </cell>
          <cell r="M39">
            <v>18.06914191419142</v>
          </cell>
        </row>
        <row r="40">
          <cell r="B40">
            <v>110000036</v>
          </cell>
          <cell r="C40">
            <v>1100</v>
          </cell>
          <cell r="D40" t="str">
            <v>Ad Cobertura Morango</v>
          </cell>
          <cell r="E40">
            <v>0.19746699669966997</v>
          </cell>
          <cell r="F40">
            <v>0.71031293776859694</v>
          </cell>
          <cell r="G40">
            <v>0.68111138946377403</v>
          </cell>
          <cell r="H40">
            <v>210500006</v>
          </cell>
          <cell r="I40" t="str">
            <v>Cobertura Morango</v>
          </cell>
          <cell r="J40">
            <v>0.19746699669966997</v>
          </cell>
          <cell r="K40">
            <v>0.01</v>
          </cell>
          <cell r="L40" t="str">
            <v>Kg</v>
          </cell>
          <cell r="M40">
            <v>19.746699669966997</v>
          </cell>
        </row>
        <row r="41">
          <cell r="B41">
            <v>110000037</v>
          </cell>
          <cell r="C41">
            <v>1100</v>
          </cell>
          <cell r="D41" t="str">
            <v>Ad Cobertura Caramelo</v>
          </cell>
          <cell r="E41">
            <v>0.17938283828382839</v>
          </cell>
          <cell r="F41">
            <v>0.64526200821520996</v>
          </cell>
          <cell r="G41">
            <v>0.61873475705552183</v>
          </cell>
          <cell r="H41">
            <v>210500001</v>
          </cell>
          <cell r="I41" t="str">
            <v>Cobertura de Caramelo</v>
          </cell>
          <cell r="J41">
            <v>0.17938283828382839</v>
          </cell>
          <cell r="K41">
            <v>0.01</v>
          </cell>
          <cell r="L41" t="str">
            <v>Kg</v>
          </cell>
          <cell r="M41">
            <v>17.93828382838284</v>
          </cell>
        </row>
        <row r="42">
          <cell r="B42">
            <v>110000038</v>
          </cell>
          <cell r="C42">
            <v>1100</v>
          </cell>
          <cell r="D42" t="str">
            <v>Ad Farofa Especial</v>
          </cell>
          <cell r="E42">
            <v>0.47743465346534664</v>
          </cell>
          <cell r="F42">
            <v>1.717390839803405</v>
          </cell>
          <cell r="G42">
            <v>1.6467874917575085</v>
          </cell>
          <cell r="H42">
            <v>216000027</v>
          </cell>
          <cell r="I42" t="str">
            <v>Farofa Crocante</v>
          </cell>
          <cell r="J42">
            <v>0.47743465346534664</v>
          </cell>
          <cell r="K42">
            <v>1.4E-2</v>
          </cell>
          <cell r="L42" t="str">
            <v>Kg</v>
          </cell>
          <cell r="M42">
            <v>34.102475247524758</v>
          </cell>
        </row>
        <row r="43">
          <cell r="B43">
            <v>110000039</v>
          </cell>
          <cell r="C43">
            <v>1100</v>
          </cell>
          <cell r="D43" t="str">
            <v>Ad Amendoim</v>
          </cell>
          <cell r="E43">
            <v>0.35497000000000001</v>
          </cell>
          <cell r="F43">
            <v>1.2768705035971222</v>
          </cell>
          <cell r="G43">
            <v>1.2243773084049743</v>
          </cell>
          <cell r="H43">
            <v>216000002</v>
          </cell>
          <cell r="I43" t="str">
            <v>Amendoim Triturado</v>
          </cell>
          <cell r="J43">
            <v>0.35497000000000001</v>
          </cell>
          <cell r="K43">
            <v>1.4E-2</v>
          </cell>
          <cell r="L43" t="str">
            <v>Kg</v>
          </cell>
          <cell r="M43">
            <v>25.355</v>
          </cell>
        </row>
        <row r="44">
          <cell r="B44">
            <v>110000040</v>
          </cell>
          <cell r="C44">
            <v>1100</v>
          </cell>
          <cell r="D44" t="str">
            <v>Ad Marshmallow torcao Fini</v>
          </cell>
          <cell r="E44">
            <v>0.88651199999999997</v>
          </cell>
          <cell r="F44">
            <v>3.1888920863309349</v>
          </cell>
          <cell r="G44">
            <v>3.057794113386231</v>
          </cell>
          <cell r="H44">
            <v>216000035</v>
          </cell>
          <cell r="I44" t="str">
            <v>Marsh Torcao FINI</v>
          </cell>
          <cell r="J44">
            <v>0.88651199999999997</v>
          </cell>
          <cell r="K44">
            <v>2.3E-2</v>
          </cell>
          <cell r="L44" t="str">
            <v>kg</v>
          </cell>
          <cell r="M44">
            <v>38.543999999999997</v>
          </cell>
        </row>
        <row r="45">
          <cell r="B45">
            <v>110000041</v>
          </cell>
          <cell r="C45">
            <v>1100</v>
          </cell>
          <cell r="D45" t="str">
            <v>Ad Mini Disqueti</v>
          </cell>
          <cell r="E45">
            <v>1.6478000000000002</v>
          </cell>
          <cell r="F45">
            <v>5.9273381294964027</v>
          </cell>
          <cell r="G45">
            <v>5.6836603904265619</v>
          </cell>
          <cell r="H45">
            <v>210900002</v>
          </cell>
          <cell r="I45" t="str">
            <v>Mini Disqueti - Dori</v>
          </cell>
          <cell r="J45">
            <v>1.6478000000000002</v>
          </cell>
          <cell r="K45">
            <v>2.5000000000000001E-2</v>
          </cell>
          <cell r="L45" t="str">
            <v>Kg</v>
          </cell>
          <cell r="M45">
            <v>65.912000000000006</v>
          </cell>
        </row>
        <row r="46">
          <cell r="B46">
            <v>110000042</v>
          </cell>
          <cell r="C46">
            <v>1100</v>
          </cell>
          <cell r="D46" t="str">
            <v>Ad Morango</v>
          </cell>
          <cell r="E46">
            <v>1.05</v>
          </cell>
          <cell r="F46">
            <v>3.7769784172661867</v>
          </cell>
          <cell r="G46">
            <v>3.6217037322174352</v>
          </cell>
          <cell r="H46">
            <v>216000020</v>
          </cell>
          <cell r="I46" t="str">
            <v>Morango</v>
          </cell>
          <cell r="J46">
            <v>1.05</v>
          </cell>
          <cell r="K46">
            <v>0.03</v>
          </cell>
          <cell r="L46" t="str">
            <v>Kg</v>
          </cell>
          <cell r="M46">
            <v>35</v>
          </cell>
        </row>
        <row r="47">
          <cell r="B47">
            <v>110000043</v>
          </cell>
          <cell r="C47">
            <v>1100</v>
          </cell>
          <cell r="D47" t="str">
            <v>Ad pacote casquinhas 10 unid. - Delivery</v>
          </cell>
          <cell r="E47">
            <v>3.1395000000000008</v>
          </cell>
          <cell r="F47">
            <v>11.293165467625901</v>
          </cell>
          <cell r="G47">
            <v>10.828894159330135</v>
          </cell>
          <cell r="H47">
            <v>211100002</v>
          </cell>
          <cell r="I47" t="str">
            <v>Casquinha Biscoito Doce Baunilha</v>
          </cell>
          <cell r="J47">
            <v>3.1395000000000008</v>
          </cell>
          <cell r="K47">
            <v>10</v>
          </cell>
          <cell r="L47" t="str">
            <v>Un</v>
          </cell>
          <cell r="M47">
            <v>0.31395000000000006</v>
          </cell>
        </row>
        <row r="48">
          <cell r="B48">
            <v>110000044</v>
          </cell>
          <cell r="C48">
            <v>1100</v>
          </cell>
          <cell r="D48" t="str">
            <v>Ad pacote cascão 10 unid. - Delivery</v>
          </cell>
          <cell r="E48">
            <v>4.8024166666666668</v>
          </cell>
          <cell r="F48">
            <v>17.274880095923262</v>
          </cell>
          <cell r="G48">
            <v>16.564695586028456</v>
          </cell>
          <cell r="H48">
            <v>211100001</v>
          </cell>
          <cell r="I48" t="str">
            <v>Cascão Tradicional Baunilha</v>
          </cell>
          <cell r="J48">
            <v>4.8024166666666668</v>
          </cell>
          <cell r="K48">
            <v>10</v>
          </cell>
          <cell r="L48" t="str">
            <v>Un</v>
          </cell>
          <cell r="M48">
            <v>0.48024166666666668</v>
          </cell>
        </row>
        <row r="49">
          <cell r="B49">
            <v>110000045</v>
          </cell>
          <cell r="C49">
            <v>1100</v>
          </cell>
          <cell r="D49" t="str">
            <v>Ad Bolo Petit Gateau</v>
          </cell>
          <cell r="E49">
            <v>6.0995200000000001</v>
          </cell>
          <cell r="F49">
            <v>21.940719424460429</v>
          </cell>
          <cell r="H49">
            <v>216000036</v>
          </cell>
          <cell r="I49" t="str">
            <v>Bolo Petit Gateau</v>
          </cell>
          <cell r="J49">
            <v>6.0995200000000001</v>
          </cell>
          <cell r="K49">
            <v>5.6000000000000001E-2</v>
          </cell>
          <cell r="L49" t="str">
            <v>Kg</v>
          </cell>
          <cell r="M49">
            <v>108.92</v>
          </cell>
        </row>
        <row r="50">
          <cell r="B50">
            <v>110000046</v>
          </cell>
          <cell r="C50">
            <v>1100</v>
          </cell>
          <cell r="D50" t="str">
            <v>Petit Gateau Chiquinho (4x80 gr)</v>
          </cell>
          <cell r="E50">
            <v>18.5</v>
          </cell>
          <cell r="F50">
            <v>28.549382716049383</v>
          </cell>
          <cell r="G50">
            <v>34.26885453853005</v>
          </cell>
          <cell r="H50">
            <v>216000053</v>
          </cell>
          <cell r="I50" t="str">
            <v>Petit Gateau Raffinée 80gr</v>
          </cell>
          <cell r="J50">
            <v>18.5</v>
          </cell>
          <cell r="K50">
            <v>4</v>
          </cell>
          <cell r="L50" t="str">
            <v>UN</v>
          </cell>
          <cell r="M50">
            <v>4.625</v>
          </cell>
        </row>
        <row r="51">
          <cell r="B51">
            <v>110000047</v>
          </cell>
          <cell r="C51">
            <v>1100</v>
          </cell>
          <cell r="D51" t="str">
            <v>Petit Gateau Chiquinho (1x80 gr)</v>
          </cell>
          <cell r="E51">
            <v>5.0250000000000004</v>
          </cell>
          <cell r="F51">
            <v>7.7546296296296298</v>
          </cell>
          <cell r="G51">
            <v>9.3081618408709996</v>
          </cell>
          <cell r="H51">
            <v>216000055</v>
          </cell>
          <cell r="I51" t="str">
            <v>Petit Gateau Raffinée (1x80gr)</v>
          </cell>
          <cell r="J51">
            <v>5.0250000000000004</v>
          </cell>
          <cell r="K51">
            <v>1</v>
          </cell>
          <cell r="L51" t="str">
            <v>UN</v>
          </cell>
          <cell r="M51">
            <v>5.0250000000000004</v>
          </cell>
        </row>
        <row r="52">
          <cell r="B52">
            <v>110000048</v>
          </cell>
          <cell r="C52">
            <v>1100</v>
          </cell>
          <cell r="D52" t="str">
            <v>Ad Biscoito Maizena</v>
          </cell>
          <cell r="E52">
            <v>0.31428571428571433</v>
          </cell>
          <cell r="F52">
            <v>1.1305241521068861</v>
          </cell>
          <cell r="G52">
            <v>1.0840473756297087</v>
          </cell>
          <cell r="H52">
            <v>216000067</v>
          </cell>
          <cell r="I52" t="str">
            <v>Biscoito Maisena</v>
          </cell>
          <cell r="J52">
            <v>0.31428571428571433</v>
          </cell>
          <cell r="K52">
            <v>0.02</v>
          </cell>
          <cell r="L52" t="str">
            <v>kg</v>
          </cell>
          <cell r="M52">
            <v>15.714285714285715</v>
          </cell>
        </row>
        <row r="53">
          <cell r="B53">
            <v>110000049</v>
          </cell>
          <cell r="C53">
            <v>1100</v>
          </cell>
          <cell r="D53" t="str">
            <v>Ad Pistache</v>
          </cell>
          <cell r="E53">
            <v>2.1707399999999999</v>
          </cell>
          <cell r="F53">
            <v>7.8084172661870497</v>
          </cell>
          <cell r="G53">
            <v>7.4874068187368339</v>
          </cell>
          <cell r="H53">
            <v>216000068</v>
          </cell>
          <cell r="I53" t="str">
            <v>Crempistache</v>
          </cell>
          <cell r="J53">
            <v>2.1707399999999999</v>
          </cell>
          <cell r="K53">
            <v>1.4999999999999999E-2</v>
          </cell>
          <cell r="L53" t="str">
            <v>kg</v>
          </cell>
          <cell r="M53">
            <v>144.71600000000001</v>
          </cell>
        </row>
        <row r="54">
          <cell r="B54">
            <v>110000050</v>
          </cell>
          <cell r="C54">
            <v>1100</v>
          </cell>
          <cell r="D54" t="str">
            <v>Ad. Mesclado Dubai</v>
          </cell>
          <cell r="E54">
            <v>1.56</v>
          </cell>
          <cell r="F54">
            <v>5.6115107913669062</v>
          </cell>
          <cell r="G54">
            <v>5.3808169735801892</v>
          </cell>
          <cell r="H54">
            <v>216000086</v>
          </cell>
          <cell r="I54" t="str">
            <v>Mesclado Dubai</v>
          </cell>
          <cell r="J54">
            <v>1.56</v>
          </cell>
          <cell r="K54">
            <v>1.4999999999999999E-2</v>
          </cell>
          <cell r="L54" t="str">
            <v>kg</v>
          </cell>
          <cell r="M54">
            <v>104</v>
          </cell>
        </row>
        <row r="55">
          <cell r="B55">
            <v>190000001</v>
          </cell>
          <cell r="C55">
            <v>1200</v>
          </cell>
          <cell r="D55" t="str">
            <v>Kit viagem único</v>
          </cell>
          <cell r="E55">
            <v>1.4168439999999998</v>
          </cell>
          <cell r="F55">
            <v>2.1864876543209872</v>
          </cell>
          <cell r="H55">
            <v>220100002</v>
          </cell>
          <cell r="I55" t="str">
            <v>Suporte Viagem Copos</v>
          </cell>
          <cell r="J55">
            <v>0.97018999999999989</v>
          </cell>
          <cell r="K55">
            <v>1</v>
          </cell>
          <cell r="L55" t="str">
            <v>Un</v>
          </cell>
          <cell r="M55">
            <v>0.97018999999999989</v>
          </cell>
        </row>
        <row r="56">
          <cell r="H56">
            <v>220100004</v>
          </cell>
          <cell r="I56" t="str">
            <v>Saco de Papel</v>
          </cell>
          <cell r="J56">
            <v>0.446654</v>
          </cell>
          <cell r="K56">
            <v>1</v>
          </cell>
          <cell r="L56" t="str">
            <v>Un</v>
          </cell>
          <cell r="M56">
            <v>0.446654</v>
          </cell>
        </row>
        <row r="57">
          <cell r="B57">
            <v>190000002</v>
          </cell>
          <cell r="C57">
            <v>1200</v>
          </cell>
          <cell r="D57" t="str">
            <v>Kit viagem duplo</v>
          </cell>
          <cell r="E57">
            <v>1.0459019999999999</v>
          </cell>
          <cell r="F57">
            <v>1.614046296296296</v>
          </cell>
          <cell r="H57">
            <v>220100003</v>
          </cell>
          <cell r="I57" t="str">
            <v>Suporte Viagem Potes</v>
          </cell>
          <cell r="J57">
            <v>0.599248</v>
          </cell>
          <cell r="K57">
            <v>1</v>
          </cell>
          <cell r="L57" t="str">
            <v>Un</v>
          </cell>
          <cell r="M57">
            <v>0.599248</v>
          </cell>
        </row>
        <row r="58">
          <cell r="H58">
            <v>220100004</v>
          </cell>
          <cell r="I58" t="str">
            <v>Saco de Papel</v>
          </cell>
          <cell r="J58">
            <v>0.446654</v>
          </cell>
          <cell r="K58">
            <v>1</v>
          </cell>
          <cell r="L58" t="str">
            <v>Un</v>
          </cell>
          <cell r="M58">
            <v>0.446654</v>
          </cell>
        </row>
        <row r="59">
          <cell r="B59">
            <v>130000001</v>
          </cell>
          <cell r="C59">
            <v>1100</v>
          </cell>
          <cell r="D59" t="str">
            <v>Ad Puro Leite</v>
          </cell>
          <cell r="E59">
            <v>0.42899999999999994</v>
          </cell>
          <cell r="F59">
            <v>1.543165467625899</v>
          </cell>
          <cell r="G59">
            <v>1.4797246677345517</v>
          </cell>
          <cell r="H59">
            <v>216000077</v>
          </cell>
          <cell r="I59" t="str">
            <v>Caribe Leitinho</v>
          </cell>
          <cell r="J59">
            <v>0.42899999999999994</v>
          </cell>
          <cell r="K59">
            <v>1.4999999999999999E-2</v>
          </cell>
          <cell r="L59" t="str">
            <v>kg</v>
          </cell>
          <cell r="M59">
            <v>28.599999999999998</v>
          </cell>
        </row>
        <row r="60">
          <cell r="B60">
            <v>130000002</v>
          </cell>
          <cell r="C60">
            <v>1100</v>
          </cell>
          <cell r="D60" t="str">
            <v>Ad Coco Malásia</v>
          </cell>
          <cell r="E60">
            <v>1.29935</v>
          </cell>
          <cell r="F60">
            <v>4.6739208633093519</v>
          </cell>
          <cell r="G60">
            <v>4.481772137577833</v>
          </cell>
          <cell r="H60">
            <v>216000079</v>
          </cell>
          <cell r="I60" t="str">
            <v>Creme Coco Malasia</v>
          </cell>
          <cell r="J60">
            <v>1.29935</v>
          </cell>
          <cell r="K60">
            <v>1.4999999999999999E-2</v>
          </cell>
          <cell r="L60" t="str">
            <v>kg</v>
          </cell>
          <cell r="M60">
            <v>86.623333333333335</v>
          </cell>
        </row>
        <row r="61">
          <cell r="B61">
            <v>130000003</v>
          </cell>
          <cell r="C61">
            <v>1100</v>
          </cell>
          <cell r="D61" t="str">
            <v>Ad Amarena</v>
          </cell>
          <cell r="E61">
            <v>3.0875000000000004</v>
          </cell>
          <cell r="F61">
            <v>11.10611510791367</v>
          </cell>
          <cell r="G61">
            <v>10.649533593544128</v>
          </cell>
          <cell r="H61">
            <v>216000078</v>
          </cell>
          <cell r="I61" t="str">
            <v>Variegato Amarena Rubino</v>
          </cell>
          <cell r="J61">
            <v>3.0875000000000004</v>
          </cell>
          <cell r="K61">
            <v>2.5000000000000001E-2</v>
          </cell>
          <cell r="L61" t="str">
            <v>kg</v>
          </cell>
          <cell r="M61">
            <v>123.5</v>
          </cell>
        </row>
        <row r="62">
          <cell r="B62">
            <v>130000004</v>
          </cell>
          <cell r="C62">
            <v>1100</v>
          </cell>
          <cell r="D62" t="str">
            <v>Ad Calda Fondue</v>
          </cell>
          <cell r="E62">
            <v>1.1579285714285714</v>
          </cell>
          <cell r="F62">
            <v>4.1652106885919835</v>
          </cell>
          <cell r="G62">
            <v>3.9939754559848191</v>
          </cell>
          <cell r="H62">
            <v>210900030</v>
          </cell>
          <cell r="I62" t="str">
            <v>Ganache Fondue Chiquinho</v>
          </cell>
          <cell r="J62">
            <v>1.1579285714285714</v>
          </cell>
          <cell r="K62">
            <v>2.5000000000000001E-2</v>
          </cell>
          <cell r="L62" t="str">
            <v>kg</v>
          </cell>
          <cell r="M62">
            <v>46.317142857142855</v>
          </cell>
        </row>
        <row r="63">
          <cell r="B63">
            <v>130000006</v>
          </cell>
          <cell r="C63">
            <v>1100</v>
          </cell>
          <cell r="D63" t="str">
            <v>Ad. Creme de Ninho</v>
          </cell>
          <cell r="E63">
            <v>0.54329684921874999</v>
          </cell>
          <cell r="F63">
            <v>1.9543052130170862</v>
          </cell>
          <cell r="G63">
            <v>1.873962120492876</v>
          </cell>
          <cell r="H63">
            <v>216000004</v>
          </cell>
          <cell r="I63" t="str">
            <v>Chantilly</v>
          </cell>
          <cell r="J63">
            <v>0.19843908333333332</v>
          </cell>
          <cell r="K63">
            <v>7.1000000000000004E-3</v>
          </cell>
          <cell r="L63" t="str">
            <v>lt</v>
          </cell>
          <cell r="M63">
            <v>27.949166666666663</v>
          </cell>
        </row>
        <row r="64">
          <cell r="H64">
            <v>216000017</v>
          </cell>
          <cell r="I64" t="str">
            <v>Leite em Pó Ninho</v>
          </cell>
          <cell r="J64">
            <v>0.17949066666666666</v>
          </cell>
          <cell r="K64">
            <v>2.8999999999999998E-3</v>
          </cell>
          <cell r="L64" t="str">
            <v>kg</v>
          </cell>
          <cell r="M64">
            <v>61.893333333333338</v>
          </cell>
        </row>
        <row r="65">
          <cell r="B65">
            <v>190000001</v>
          </cell>
          <cell r="C65">
            <v>1200</v>
          </cell>
          <cell r="D65" t="str">
            <v>Kit Delivery s/tampa</v>
          </cell>
          <cell r="E65">
            <v>1.0295219999999998</v>
          </cell>
          <cell r="F65">
            <v>1.5887685185185183</v>
          </cell>
          <cell r="H65">
            <v>220100004</v>
          </cell>
          <cell r="I65" t="str">
            <v>Saco de Papel</v>
          </cell>
          <cell r="J65">
            <v>0.223327</v>
          </cell>
          <cell r="K65">
            <v>0.5</v>
          </cell>
          <cell r="L65" t="str">
            <v>Un</v>
          </cell>
          <cell r="M65">
            <v>0.446654</v>
          </cell>
        </row>
        <row r="66">
          <cell r="H66">
            <v>220100002</v>
          </cell>
          <cell r="I66" t="str">
            <v>Suporte Viagem Copos</v>
          </cell>
          <cell r="J66">
            <v>0.48509499999999994</v>
          </cell>
          <cell r="K66">
            <v>0.5</v>
          </cell>
          <cell r="L66" t="str">
            <v>Un</v>
          </cell>
          <cell r="M66">
            <v>0.97018999999999989</v>
          </cell>
        </row>
        <row r="67">
          <cell r="H67">
            <v>220100005</v>
          </cell>
          <cell r="I67" t="str">
            <v>Lacre</v>
          </cell>
          <cell r="J67">
            <v>0.25219999999999998</v>
          </cell>
          <cell r="K67">
            <v>1</v>
          </cell>
          <cell r="L67" t="str">
            <v>Un</v>
          </cell>
          <cell r="M67">
            <v>0.25219999999999998</v>
          </cell>
        </row>
        <row r="68">
          <cell r="H68">
            <v>220100006</v>
          </cell>
          <cell r="I68" t="str">
            <v>Lacre de embalagem para viagem</v>
          </cell>
          <cell r="J68">
            <v>6.8900000000000003E-2</v>
          </cell>
          <cell r="K68">
            <v>0.5</v>
          </cell>
          <cell r="L68" t="str">
            <v>Un</v>
          </cell>
          <cell r="M68">
            <v>0.13780000000000001</v>
          </cell>
        </row>
        <row r="69">
          <cell r="B69">
            <v>190000002</v>
          </cell>
          <cell r="C69">
            <v>1200</v>
          </cell>
          <cell r="D69" t="str">
            <v>Kit Delivery c/ Tampa</v>
          </cell>
          <cell r="E69">
            <v>1.2047519999999998</v>
          </cell>
          <cell r="F69">
            <v>1.8591851851851848</v>
          </cell>
          <cell r="H69">
            <v>220100004</v>
          </cell>
          <cell r="I69" t="str">
            <v>Saco de Papel</v>
          </cell>
          <cell r="J69">
            <v>0.223327</v>
          </cell>
          <cell r="K69">
            <v>0.5</v>
          </cell>
          <cell r="L69" t="str">
            <v>Un</v>
          </cell>
          <cell r="M69">
            <v>0.446654</v>
          </cell>
        </row>
        <row r="70">
          <cell r="H70">
            <v>220100002</v>
          </cell>
          <cell r="I70" t="str">
            <v>Suporte Viagem Copos</v>
          </cell>
          <cell r="J70">
            <v>0.48509499999999994</v>
          </cell>
          <cell r="K70">
            <v>0.5</v>
          </cell>
          <cell r="L70" t="str">
            <v>Un</v>
          </cell>
          <cell r="M70">
            <v>0.97018999999999989</v>
          </cell>
        </row>
        <row r="71">
          <cell r="H71">
            <v>210200049</v>
          </cell>
          <cell r="I71" t="str">
            <v>Tampa 330 ml Milk Shake</v>
          </cell>
          <cell r="J71">
            <v>0.17523</v>
          </cell>
          <cell r="K71">
            <v>1</v>
          </cell>
          <cell r="L71" t="str">
            <v>Un</v>
          </cell>
          <cell r="M71">
            <v>0.17523</v>
          </cell>
        </row>
        <row r="72">
          <cell r="H72">
            <v>220100005</v>
          </cell>
          <cell r="I72" t="str">
            <v>Lacre</v>
          </cell>
          <cell r="J72">
            <v>0.25219999999999998</v>
          </cell>
          <cell r="K72">
            <v>1</v>
          </cell>
          <cell r="L72" t="str">
            <v>Un</v>
          </cell>
          <cell r="M72">
            <v>0.25219999999999998</v>
          </cell>
        </row>
        <row r="73">
          <cell r="H73">
            <v>220100006</v>
          </cell>
          <cell r="I73" t="str">
            <v>Lacre de embalagem para viagem</v>
          </cell>
          <cell r="J73">
            <v>6.8900000000000003E-2</v>
          </cell>
          <cell r="K73">
            <v>0.5</v>
          </cell>
          <cell r="L73" t="str">
            <v>Un</v>
          </cell>
          <cell r="M73">
            <v>0.13780000000000001</v>
          </cell>
        </row>
        <row r="74">
          <cell r="B74">
            <v>190000003</v>
          </cell>
          <cell r="C74">
            <v>1200</v>
          </cell>
          <cell r="D74" t="str">
            <v>Kit Delivery Pote</v>
          </cell>
          <cell r="E74">
            <v>1.4168439999999998</v>
          </cell>
          <cell r="F74">
            <v>2.1864876543209872</v>
          </cell>
          <cell r="H74">
            <v>220100002</v>
          </cell>
          <cell r="I74" t="str">
            <v>Suporte Viagem Copos</v>
          </cell>
          <cell r="J74">
            <v>0.97018999999999989</v>
          </cell>
          <cell r="K74">
            <v>1</v>
          </cell>
          <cell r="L74" t="str">
            <v>Un</v>
          </cell>
          <cell r="M74">
            <v>0.97018999999999989</v>
          </cell>
        </row>
        <row r="75">
          <cell r="H75">
            <v>220100004</v>
          </cell>
          <cell r="I75" t="str">
            <v>Saco de Papel</v>
          </cell>
          <cell r="J75">
            <v>0.446654</v>
          </cell>
          <cell r="K75">
            <v>1</v>
          </cell>
          <cell r="L75" t="str">
            <v>Un</v>
          </cell>
          <cell r="M75">
            <v>0.446654</v>
          </cell>
        </row>
        <row r="76">
          <cell r="B76">
            <v>101300001</v>
          </cell>
          <cell r="C76">
            <v>1013</v>
          </cell>
          <cell r="D76" t="str">
            <v>Big Sundae Cobertura Caramelo</v>
          </cell>
          <cell r="E76">
            <v>3.0255900903960393</v>
          </cell>
          <cell r="F76">
            <v>10.883417591352659</v>
          </cell>
          <cell r="G76">
            <v>14.591472130803659</v>
          </cell>
          <cell r="H76">
            <v>210500001</v>
          </cell>
          <cell r="I76" t="str">
            <v>Cobertura de Caramelo</v>
          </cell>
          <cell r="J76">
            <v>0.26907425742574259</v>
          </cell>
          <cell r="K76">
            <v>1.4999999999999999E-2</v>
          </cell>
          <cell r="L76" t="str">
            <v>Kg</v>
          </cell>
          <cell r="M76">
            <v>17.93828382838284</v>
          </cell>
        </row>
        <row r="77">
          <cell r="H77">
            <v>210100007</v>
          </cell>
          <cell r="I77" t="str">
            <v>Bebida Láctea Uht Sabores</v>
          </cell>
          <cell r="J77">
            <v>1.5823646999999998</v>
          </cell>
          <cell r="K77">
            <v>0.14499999999999999</v>
          </cell>
          <cell r="L77" t="str">
            <v>Lt</v>
          </cell>
          <cell r="M77">
            <v>10.91286</v>
          </cell>
        </row>
        <row r="78">
          <cell r="H78">
            <v>216000009</v>
          </cell>
          <cell r="I78" t="str">
            <v>Canudinho Biju Wafer</v>
          </cell>
          <cell r="J78">
            <v>0.22659000000000001</v>
          </cell>
          <cell r="K78">
            <v>6.0000000000000001E-3</v>
          </cell>
          <cell r="L78" t="str">
            <v>Un</v>
          </cell>
          <cell r="M78">
            <v>37.765000000000001</v>
          </cell>
        </row>
        <row r="79">
          <cell r="H79">
            <v>216000027</v>
          </cell>
          <cell r="I79" t="str">
            <v>Farofa Crocante</v>
          </cell>
          <cell r="J79">
            <v>0.40922970297029709</v>
          </cell>
          <cell r="K79">
            <v>1.2E-2</v>
          </cell>
          <cell r="L79" t="str">
            <v>Kg</v>
          </cell>
          <cell r="M79">
            <v>34.102475247524758</v>
          </cell>
        </row>
        <row r="80">
          <cell r="H80">
            <v>210200011</v>
          </cell>
          <cell r="I80" t="str">
            <v>Colher Grande</v>
          </cell>
          <cell r="J80">
            <v>0.18408533000000002</v>
          </cell>
          <cell r="K80">
            <v>1</v>
          </cell>
          <cell r="L80" t="str">
            <v>Un</v>
          </cell>
          <cell r="M80">
            <v>0.18408533000000002</v>
          </cell>
        </row>
        <row r="81">
          <cell r="H81">
            <v>220100008</v>
          </cell>
          <cell r="I81" t="str">
            <v>Guardanapo Embalado</v>
          </cell>
          <cell r="J81">
            <v>7.1500000000000008E-2</v>
          </cell>
          <cell r="K81">
            <v>1</v>
          </cell>
          <cell r="L81" t="str">
            <v>Un</v>
          </cell>
          <cell r="M81">
            <v>7.1500000000000008E-2</v>
          </cell>
        </row>
        <row r="82">
          <cell r="H82">
            <v>210200030</v>
          </cell>
          <cell r="I82" t="str">
            <v>Copo 330 ml Milk Shake</v>
          </cell>
          <cell r="J82">
            <v>0.2827461</v>
          </cell>
          <cell r="K82">
            <v>1</v>
          </cell>
          <cell r="L82" t="str">
            <v>Un</v>
          </cell>
          <cell r="M82">
            <v>0.2827461</v>
          </cell>
        </row>
        <row r="83">
          <cell r="B83">
            <v>101300002</v>
          </cell>
          <cell r="C83">
            <v>1013</v>
          </cell>
          <cell r="D83" t="str">
            <v>Big Sundae Cobertura Chocolate</v>
          </cell>
          <cell r="E83">
            <v>3.0275529616831678</v>
          </cell>
          <cell r="F83">
            <v>10.890478279435854</v>
          </cell>
          <cell r="G83">
            <v>14.598242548200284</v>
          </cell>
          <cell r="H83">
            <v>210500004</v>
          </cell>
          <cell r="I83" t="str">
            <v>Cobertura Chocolate</v>
          </cell>
          <cell r="J83">
            <v>0.27103712871287128</v>
          </cell>
          <cell r="K83">
            <v>1.4999999999999999E-2</v>
          </cell>
          <cell r="L83" t="str">
            <v>Kg</v>
          </cell>
          <cell r="M83">
            <v>18.06914191419142</v>
          </cell>
        </row>
        <row r="84">
          <cell r="H84">
            <v>210100007</v>
          </cell>
          <cell r="I84" t="str">
            <v>Bebida Láctea Uht Sabores</v>
          </cell>
          <cell r="J84">
            <v>1.5823646999999998</v>
          </cell>
          <cell r="K84">
            <v>0.14499999999999999</v>
          </cell>
          <cell r="L84" t="str">
            <v>Lt</v>
          </cell>
          <cell r="M84">
            <v>10.91286</v>
          </cell>
        </row>
        <row r="85">
          <cell r="H85">
            <v>216000009</v>
          </cell>
          <cell r="I85" t="str">
            <v>Canudinho Biju Wafer</v>
          </cell>
          <cell r="J85">
            <v>0.22659000000000001</v>
          </cell>
          <cell r="K85">
            <v>6.0000000000000001E-3</v>
          </cell>
          <cell r="L85" t="str">
            <v>Kg</v>
          </cell>
          <cell r="M85">
            <v>37.765000000000001</v>
          </cell>
        </row>
        <row r="86">
          <cell r="H86">
            <v>216000027</v>
          </cell>
          <cell r="I86" t="str">
            <v>Farofa Crocante</v>
          </cell>
          <cell r="J86">
            <v>0.40922970297029709</v>
          </cell>
          <cell r="K86">
            <v>1.2E-2</v>
          </cell>
          <cell r="L86" t="str">
            <v>Kg</v>
          </cell>
          <cell r="M86">
            <v>34.102475247524758</v>
          </cell>
        </row>
        <row r="87">
          <cell r="H87">
            <v>210200011</v>
          </cell>
          <cell r="I87" t="str">
            <v>Colher Grande</v>
          </cell>
          <cell r="J87">
            <v>0.18408533000000002</v>
          </cell>
          <cell r="K87">
            <v>1</v>
          </cell>
          <cell r="L87" t="str">
            <v>Un</v>
          </cell>
          <cell r="M87">
            <v>0.18408533000000002</v>
          </cell>
        </row>
        <row r="88">
          <cell r="H88">
            <v>220100008</v>
          </cell>
          <cell r="I88" t="str">
            <v>Guardanapo Embalado</v>
          </cell>
          <cell r="J88">
            <v>7.1500000000000008E-2</v>
          </cell>
          <cell r="K88">
            <v>1</v>
          </cell>
          <cell r="L88" t="str">
            <v>Un</v>
          </cell>
          <cell r="M88">
            <v>7.1500000000000008E-2</v>
          </cell>
        </row>
        <row r="89">
          <cell r="H89">
            <v>210200030</v>
          </cell>
          <cell r="I89" t="str">
            <v>Copo 330 ml Milk Shake</v>
          </cell>
          <cell r="J89">
            <v>0.2827461</v>
          </cell>
          <cell r="K89">
            <v>1</v>
          </cell>
          <cell r="L89" t="str">
            <v>Un</v>
          </cell>
          <cell r="M89">
            <v>0.2827461</v>
          </cell>
        </row>
        <row r="90">
          <cell r="B90">
            <v>101300003</v>
          </cell>
          <cell r="C90">
            <v>1013</v>
          </cell>
          <cell r="D90" t="str">
            <v>Big Sundae Cobertura Morango</v>
          </cell>
          <cell r="E90">
            <v>3.0527163280198018</v>
          </cell>
          <cell r="F90">
            <v>10.980993985682739</v>
          </cell>
          <cell r="G90">
            <v>14.685037079416038</v>
          </cell>
          <cell r="H90">
            <v>210500006</v>
          </cell>
          <cell r="I90" t="str">
            <v>Cobertura Morango</v>
          </cell>
          <cell r="J90">
            <v>0.29620049504950496</v>
          </cell>
          <cell r="K90">
            <v>1.4999999999999999E-2</v>
          </cell>
          <cell r="L90" t="str">
            <v>Kg</v>
          </cell>
          <cell r="M90">
            <v>19.746699669966997</v>
          </cell>
        </row>
        <row r="91">
          <cell r="H91">
            <v>210100007</v>
          </cell>
          <cell r="I91" t="str">
            <v>Bebida Láctea Uht Sabores</v>
          </cell>
          <cell r="J91">
            <v>1.5823646999999998</v>
          </cell>
          <cell r="K91">
            <v>0.14499999999999999</v>
          </cell>
          <cell r="L91" t="str">
            <v>Lt</v>
          </cell>
          <cell r="M91">
            <v>10.91286</v>
          </cell>
        </row>
        <row r="92">
          <cell r="H92">
            <v>216000009</v>
          </cell>
          <cell r="I92" t="str">
            <v>Canudinho Biju Wafer</v>
          </cell>
          <cell r="J92">
            <v>0.22659000000000001</v>
          </cell>
          <cell r="K92">
            <v>6.0000000000000001E-3</v>
          </cell>
          <cell r="L92" t="str">
            <v>Un</v>
          </cell>
          <cell r="M92">
            <v>37.765000000000001</v>
          </cell>
        </row>
        <row r="93">
          <cell r="H93">
            <v>216000027</v>
          </cell>
          <cell r="I93" t="str">
            <v>Farofa Crocante</v>
          </cell>
          <cell r="J93">
            <v>0.40922970297029709</v>
          </cell>
          <cell r="K93">
            <v>1.2E-2</v>
          </cell>
          <cell r="L93" t="str">
            <v>Kg</v>
          </cell>
          <cell r="M93">
            <v>34.102475247524758</v>
          </cell>
        </row>
        <row r="94">
          <cell r="H94">
            <v>210200011</v>
          </cell>
          <cell r="I94" t="str">
            <v>Colher Grande</v>
          </cell>
          <cell r="J94">
            <v>0.18408533000000002</v>
          </cell>
          <cell r="K94">
            <v>1</v>
          </cell>
          <cell r="L94" t="str">
            <v>Un</v>
          </cell>
          <cell r="M94">
            <v>0.18408533000000002</v>
          </cell>
        </row>
        <row r="95">
          <cell r="H95">
            <v>220100008</v>
          </cell>
          <cell r="I95" t="str">
            <v>Guardanapo Embalado</v>
          </cell>
          <cell r="J95">
            <v>7.1500000000000008E-2</v>
          </cell>
          <cell r="K95">
            <v>1</v>
          </cell>
          <cell r="L95" t="str">
            <v>Un</v>
          </cell>
          <cell r="M95">
            <v>7.1500000000000008E-2</v>
          </cell>
        </row>
        <row r="96">
          <cell r="H96">
            <v>210200030</v>
          </cell>
          <cell r="I96" t="str">
            <v>Copo 330 ml Milk Shake</v>
          </cell>
          <cell r="J96">
            <v>0.2827461</v>
          </cell>
          <cell r="K96">
            <v>1</v>
          </cell>
          <cell r="L96" t="str">
            <v>Un</v>
          </cell>
          <cell r="M96">
            <v>0.2827461</v>
          </cell>
        </row>
        <row r="97">
          <cell r="B97">
            <v>101300004</v>
          </cell>
          <cell r="C97">
            <v>1013</v>
          </cell>
          <cell r="D97" t="str">
            <v>Big Sundae Chocotino Turbo</v>
          </cell>
          <cell r="E97">
            <v>5.6809021300000007</v>
          </cell>
          <cell r="F97">
            <v>20.434899748201438</v>
          </cell>
          <cell r="G97">
            <v>23.750285010837523</v>
          </cell>
          <cell r="H97">
            <v>216100007</v>
          </cell>
          <cell r="I97" t="str">
            <v>Ganache Chiquinho</v>
          </cell>
          <cell r="J97">
            <v>1.2441</v>
          </cell>
          <cell r="K97">
            <v>0.03</v>
          </cell>
          <cell r="L97" t="str">
            <v>Kg</v>
          </cell>
          <cell r="M97">
            <v>41.47</v>
          </cell>
        </row>
        <row r="98">
          <cell r="H98">
            <v>210100007</v>
          </cell>
          <cell r="I98" t="str">
            <v>Bebida Láctea Uht Sabores</v>
          </cell>
          <cell r="J98">
            <v>1.5823646999999998</v>
          </cell>
          <cell r="K98">
            <v>0.14499999999999999</v>
          </cell>
          <cell r="L98" t="str">
            <v>Lt</v>
          </cell>
          <cell r="M98">
            <v>10.91286</v>
          </cell>
        </row>
        <row r="99">
          <cell r="H99">
            <v>216000009</v>
          </cell>
          <cell r="I99" t="str">
            <v>Canudinho Biju Wafer</v>
          </cell>
          <cell r="J99">
            <v>0.22659000000000001</v>
          </cell>
          <cell r="K99">
            <v>6.0000000000000001E-3</v>
          </cell>
          <cell r="L99" t="str">
            <v>Un</v>
          </cell>
          <cell r="M99">
            <v>37.765000000000001</v>
          </cell>
        </row>
        <row r="100">
          <cell r="H100">
            <v>210900004</v>
          </cell>
          <cell r="I100" t="str">
            <v>Ovomaltine</v>
          </cell>
          <cell r="J100">
            <v>0.92974933333333332</v>
          </cell>
          <cell r="K100">
            <v>2.4E-2</v>
          </cell>
          <cell r="L100" t="str">
            <v>Kg</v>
          </cell>
          <cell r="M100">
            <v>38.739555555555555</v>
          </cell>
        </row>
        <row r="101">
          <cell r="H101">
            <v>216000039</v>
          </cell>
          <cell r="I101" t="str">
            <v>Creme Crocante</v>
          </cell>
          <cell r="J101">
            <v>1.1597666666666666</v>
          </cell>
          <cell r="K101">
            <v>0.02</v>
          </cell>
          <cell r="L101" t="str">
            <v>kg</v>
          </cell>
          <cell r="M101">
            <v>57.98833333333333</v>
          </cell>
        </row>
        <row r="102">
          <cell r="H102">
            <v>210200011</v>
          </cell>
          <cell r="I102" t="str">
            <v>Colher Grande</v>
          </cell>
          <cell r="J102">
            <v>0.18408533000000002</v>
          </cell>
          <cell r="K102">
            <v>1</v>
          </cell>
          <cell r="L102" t="str">
            <v>Un</v>
          </cell>
          <cell r="M102">
            <v>0.18408533000000002</v>
          </cell>
        </row>
        <row r="103">
          <cell r="H103">
            <v>220100008</v>
          </cell>
          <cell r="I103" t="str">
            <v>Guardanapo Embalado</v>
          </cell>
          <cell r="J103">
            <v>7.1500000000000008E-2</v>
          </cell>
          <cell r="K103">
            <v>1</v>
          </cell>
          <cell r="L103" t="str">
            <v>Un</v>
          </cell>
          <cell r="M103">
            <v>7.1500000000000008E-2</v>
          </cell>
        </row>
        <row r="104">
          <cell r="H104">
            <v>210200030</v>
          </cell>
          <cell r="I104" t="str">
            <v>Copo 330 ml Milk Shake</v>
          </cell>
          <cell r="J104">
            <v>0.2827461</v>
          </cell>
          <cell r="K104">
            <v>1</v>
          </cell>
          <cell r="L104" t="str">
            <v>Un</v>
          </cell>
          <cell r="M104">
            <v>0.2827461</v>
          </cell>
        </row>
        <row r="105">
          <cell r="B105">
            <v>100200043</v>
          </cell>
          <cell r="C105">
            <v>1002</v>
          </cell>
          <cell r="D105" t="str">
            <v>Cascao Tradicional Cobertura Caramelo</v>
          </cell>
          <cell r="E105">
            <v>1.8908357814504952</v>
          </cell>
          <cell r="F105">
            <v>6.8015675591744431</v>
          </cell>
          <cell r="H105">
            <v>210500001</v>
          </cell>
          <cell r="I105" t="str">
            <v>Cobertura de Caramelo</v>
          </cell>
          <cell r="J105">
            <v>0.17938283828382839</v>
          </cell>
          <cell r="K105">
            <v>0.01</v>
          </cell>
          <cell r="L105" t="str">
            <v>Kg</v>
          </cell>
          <cell r="M105">
            <v>17.93828382838284</v>
          </cell>
        </row>
        <row r="106">
          <cell r="H106">
            <v>210100007</v>
          </cell>
          <cell r="I106" t="str">
            <v>Bebida Láctea Uht Sabores</v>
          </cell>
          <cell r="J106">
            <v>0.8948545200000001</v>
          </cell>
          <cell r="K106">
            <v>8.2000000000000003E-2</v>
          </cell>
          <cell r="L106" t="str">
            <v>Lt</v>
          </cell>
          <cell r="M106">
            <v>10.91286</v>
          </cell>
        </row>
        <row r="107">
          <cell r="H107">
            <v>216000009</v>
          </cell>
          <cell r="I107" t="str">
            <v>Canudinho Biju Wafer</v>
          </cell>
          <cell r="J107">
            <v>0.11329500000000001</v>
          </cell>
          <cell r="K107">
            <v>3.0000000000000001E-3</v>
          </cell>
          <cell r="L107" t="str">
            <v>Un</v>
          </cell>
          <cell r="M107">
            <v>37.765000000000001</v>
          </cell>
        </row>
        <row r="108">
          <cell r="H108">
            <v>211100001</v>
          </cell>
          <cell r="I108" t="str">
            <v>Cascão Tradicional Baunilha</v>
          </cell>
          <cell r="J108">
            <v>0.48024166666666668</v>
          </cell>
          <cell r="K108">
            <v>1</v>
          </cell>
          <cell r="L108" t="str">
            <v>Un</v>
          </cell>
          <cell r="M108">
            <v>0.48024166666666668</v>
          </cell>
        </row>
        <row r="109">
          <cell r="H109">
            <v>210200037</v>
          </cell>
          <cell r="I109" t="str">
            <v>Chiquinho - Cone Protetor</v>
          </cell>
          <cell r="J109">
            <v>5.4000000000000006E-2</v>
          </cell>
          <cell r="K109">
            <v>1</v>
          </cell>
          <cell r="L109" t="str">
            <v>Un</v>
          </cell>
          <cell r="M109">
            <v>5.4000000000000006E-2</v>
          </cell>
        </row>
        <row r="110">
          <cell r="H110">
            <v>220100008</v>
          </cell>
          <cell r="I110" t="str">
            <v>Guardanapo Embalado</v>
          </cell>
          <cell r="J110">
            <v>7.1500000000000008E-2</v>
          </cell>
          <cell r="K110">
            <v>1</v>
          </cell>
          <cell r="L110" t="str">
            <v>Un</v>
          </cell>
          <cell r="M110">
            <v>7.1500000000000008E-2</v>
          </cell>
        </row>
        <row r="111">
          <cell r="H111">
            <v>210200012</v>
          </cell>
          <cell r="I111" t="str">
            <v>Colher Pequena</v>
          </cell>
          <cell r="J111">
            <v>9.7561756500000013E-2</v>
          </cell>
          <cell r="K111">
            <v>1</v>
          </cell>
          <cell r="L111" t="str">
            <v>Un</v>
          </cell>
          <cell r="M111">
            <v>9.7561756500000013E-2</v>
          </cell>
        </row>
        <row r="112">
          <cell r="B112">
            <v>100200044</v>
          </cell>
          <cell r="C112">
            <v>1002</v>
          </cell>
          <cell r="D112" t="str">
            <v>Cascao Tradicional Cobertura Chocolate</v>
          </cell>
          <cell r="E112">
            <v>1.8921443623085807</v>
          </cell>
          <cell r="F112">
            <v>6.8062746845632391</v>
          </cell>
          <cell r="H112">
            <v>210500004</v>
          </cell>
          <cell r="I112" t="str">
            <v>Cobertura Chocolate</v>
          </cell>
          <cell r="J112">
            <v>0.18069141914191419</v>
          </cell>
          <cell r="K112">
            <v>0.01</v>
          </cell>
          <cell r="L112" t="str">
            <v>Kg</v>
          </cell>
          <cell r="M112">
            <v>18.06914191419142</v>
          </cell>
        </row>
        <row r="113">
          <cell r="H113">
            <v>210100007</v>
          </cell>
          <cell r="I113" t="str">
            <v>Bebida Láctea Uht Sabores</v>
          </cell>
          <cell r="J113">
            <v>0.8948545200000001</v>
          </cell>
          <cell r="K113">
            <v>8.2000000000000003E-2</v>
          </cell>
          <cell r="L113" t="str">
            <v>Lt</v>
          </cell>
          <cell r="M113">
            <v>10.91286</v>
          </cell>
        </row>
        <row r="114">
          <cell r="H114">
            <v>216000009</v>
          </cell>
          <cell r="I114" t="str">
            <v>Canudinho Biju Wafer</v>
          </cell>
          <cell r="J114">
            <v>0.11329500000000001</v>
          </cell>
          <cell r="K114">
            <v>3.0000000000000001E-3</v>
          </cell>
          <cell r="L114" t="str">
            <v>Un</v>
          </cell>
          <cell r="M114">
            <v>37.765000000000001</v>
          </cell>
        </row>
        <row r="115">
          <cell r="H115">
            <v>211100001</v>
          </cell>
          <cell r="I115" t="str">
            <v>Cascão Tradicional Baunilha</v>
          </cell>
          <cell r="J115">
            <v>0.48024166666666668</v>
          </cell>
          <cell r="K115">
            <v>1</v>
          </cell>
          <cell r="L115" t="str">
            <v>Un</v>
          </cell>
          <cell r="M115">
            <v>0.48024166666666668</v>
          </cell>
        </row>
        <row r="116">
          <cell r="H116">
            <v>210200037</v>
          </cell>
          <cell r="I116" t="str">
            <v>Chiquinho - Cone Protetor</v>
          </cell>
          <cell r="J116">
            <v>5.4000000000000006E-2</v>
          </cell>
          <cell r="K116">
            <v>1</v>
          </cell>
          <cell r="L116" t="str">
            <v>Un</v>
          </cell>
          <cell r="M116">
            <v>5.4000000000000006E-2</v>
          </cell>
        </row>
        <row r="117">
          <cell r="H117">
            <v>220100008</v>
          </cell>
          <cell r="I117" t="str">
            <v>Guardanapo Embalado</v>
          </cell>
          <cell r="J117">
            <v>7.1500000000000008E-2</v>
          </cell>
          <cell r="K117">
            <v>1</v>
          </cell>
          <cell r="L117" t="str">
            <v>Un</v>
          </cell>
          <cell r="M117">
            <v>7.1500000000000008E-2</v>
          </cell>
        </row>
        <row r="118">
          <cell r="H118">
            <v>210200012</v>
          </cell>
          <cell r="I118" t="str">
            <v>Colher Pequena</v>
          </cell>
          <cell r="J118">
            <v>9.7561756500000013E-2</v>
          </cell>
          <cell r="K118">
            <v>1</v>
          </cell>
          <cell r="L118" t="str">
            <v>Un</v>
          </cell>
          <cell r="M118">
            <v>9.7561756500000013E-2</v>
          </cell>
        </row>
        <row r="119">
          <cell r="B119">
            <v>100200045</v>
          </cell>
          <cell r="C119">
            <v>1002</v>
          </cell>
          <cell r="D119" t="str">
            <v>Cascao Tradicional Cobertura Morango</v>
          </cell>
          <cell r="E119">
            <v>1.9089199398663366</v>
          </cell>
          <cell r="F119">
            <v>6.8666184887278288</v>
          </cell>
          <cell r="H119">
            <v>210500006</v>
          </cell>
          <cell r="I119" t="str">
            <v>Cobertura Morango</v>
          </cell>
          <cell r="J119">
            <v>0.19746699669966997</v>
          </cell>
          <cell r="K119">
            <v>0.01</v>
          </cell>
          <cell r="L119" t="str">
            <v>Kg</v>
          </cell>
          <cell r="M119">
            <v>19.746699669966997</v>
          </cell>
        </row>
        <row r="120">
          <cell r="H120">
            <v>210100007</v>
          </cell>
          <cell r="I120" t="str">
            <v>Bebida Láctea Uht Sabores</v>
          </cell>
          <cell r="J120">
            <v>0.8948545200000001</v>
          </cell>
          <cell r="K120">
            <v>8.2000000000000003E-2</v>
          </cell>
          <cell r="L120" t="str">
            <v>Lt</v>
          </cell>
          <cell r="M120">
            <v>10.91286</v>
          </cell>
        </row>
        <row r="121">
          <cell r="H121">
            <v>216000009</v>
          </cell>
          <cell r="I121" t="str">
            <v>Canudinho Biju Wafer</v>
          </cell>
          <cell r="J121">
            <v>0.11329500000000001</v>
          </cell>
          <cell r="K121">
            <v>3.0000000000000001E-3</v>
          </cell>
          <cell r="L121" t="str">
            <v>Un</v>
          </cell>
          <cell r="M121">
            <v>37.765000000000001</v>
          </cell>
        </row>
        <row r="122">
          <cell r="H122">
            <v>211100001</v>
          </cell>
          <cell r="I122" t="str">
            <v>Cascão Tradicional Baunilha</v>
          </cell>
          <cell r="J122">
            <v>0.48024166666666668</v>
          </cell>
          <cell r="K122">
            <v>1</v>
          </cell>
          <cell r="L122" t="str">
            <v>Un</v>
          </cell>
          <cell r="M122">
            <v>0.48024166666666668</v>
          </cell>
        </row>
        <row r="123">
          <cell r="H123">
            <v>210200037</v>
          </cell>
          <cell r="I123" t="str">
            <v>Chiquinho - Cone Protetor</v>
          </cell>
          <cell r="J123">
            <v>5.4000000000000006E-2</v>
          </cell>
          <cell r="K123">
            <v>1</v>
          </cell>
          <cell r="L123" t="str">
            <v>Un</v>
          </cell>
          <cell r="M123">
            <v>5.4000000000000006E-2</v>
          </cell>
        </row>
        <row r="124">
          <cell r="H124">
            <v>220100008</v>
          </cell>
          <cell r="I124" t="str">
            <v>Guardanapo Embalado</v>
          </cell>
          <cell r="J124">
            <v>7.1500000000000008E-2</v>
          </cell>
          <cell r="K124">
            <v>1</v>
          </cell>
          <cell r="L124" t="str">
            <v>Un</v>
          </cell>
          <cell r="M124">
            <v>7.1500000000000008E-2</v>
          </cell>
        </row>
        <row r="125">
          <cell r="H125">
            <v>210200012</v>
          </cell>
          <cell r="I125" t="str">
            <v>Colher Pequena</v>
          </cell>
          <cell r="J125">
            <v>9.7561756500000013E-2</v>
          </cell>
          <cell r="K125">
            <v>1</v>
          </cell>
          <cell r="L125" t="str">
            <v>Un</v>
          </cell>
          <cell r="M125">
            <v>9.7561756500000013E-2</v>
          </cell>
        </row>
        <row r="126">
          <cell r="B126">
            <v>100200007</v>
          </cell>
          <cell r="C126">
            <v>1002</v>
          </cell>
          <cell r="D126" t="str">
            <v>Cascao Recheado Cobertura Caramelo</v>
          </cell>
          <cell r="E126">
            <v>2.2609847814504951</v>
          </cell>
          <cell r="F126">
            <v>8.1330387821960244</v>
          </cell>
          <cell r="H126">
            <v>210500001</v>
          </cell>
          <cell r="I126" t="str">
            <v>Cobertura de Caramelo</v>
          </cell>
          <cell r="J126">
            <v>0.17938283828382839</v>
          </cell>
          <cell r="K126">
            <v>0.01</v>
          </cell>
          <cell r="L126" t="str">
            <v>Kg</v>
          </cell>
          <cell r="M126">
            <v>17.93828382838284</v>
          </cell>
        </row>
        <row r="127">
          <cell r="H127">
            <v>210100007</v>
          </cell>
          <cell r="I127" t="str">
            <v>Bebida Láctea Uht Sabores</v>
          </cell>
          <cell r="J127">
            <v>0.8948545200000001</v>
          </cell>
          <cell r="K127">
            <v>8.2000000000000003E-2</v>
          </cell>
          <cell r="L127" t="str">
            <v>Lt</v>
          </cell>
          <cell r="M127">
            <v>10.91286</v>
          </cell>
        </row>
        <row r="128">
          <cell r="H128">
            <v>216000009</v>
          </cell>
          <cell r="I128" t="str">
            <v>Canudinho Biju Wafer</v>
          </cell>
          <cell r="J128">
            <v>0.11329500000000001</v>
          </cell>
          <cell r="K128">
            <v>3.0000000000000001E-3</v>
          </cell>
          <cell r="L128" t="str">
            <v>Un</v>
          </cell>
          <cell r="M128">
            <v>37.765000000000001</v>
          </cell>
        </row>
        <row r="129">
          <cell r="H129">
            <v>211100001</v>
          </cell>
          <cell r="I129" t="str">
            <v>Cascão Tradicional Baunilha</v>
          </cell>
          <cell r="J129">
            <v>0.48024166666666668</v>
          </cell>
          <cell r="K129">
            <v>1</v>
          </cell>
          <cell r="L129" t="str">
            <v>Un</v>
          </cell>
          <cell r="M129">
            <v>0.48024166666666668</v>
          </cell>
        </row>
        <row r="130">
          <cell r="H130">
            <v>210200012</v>
          </cell>
          <cell r="I130" t="str">
            <v>Colher Pequena</v>
          </cell>
          <cell r="J130">
            <v>9.7561756500000013E-2</v>
          </cell>
          <cell r="K130">
            <v>1</v>
          </cell>
          <cell r="L130" t="str">
            <v>Un</v>
          </cell>
          <cell r="M130">
            <v>9.7561756500000013E-2</v>
          </cell>
        </row>
        <row r="131">
          <cell r="H131">
            <v>210200037</v>
          </cell>
          <cell r="I131" t="str">
            <v>Chiquinho - Cone Protetor</v>
          </cell>
          <cell r="J131">
            <v>5.4000000000000006E-2</v>
          </cell>
          <cell r="K131">
            <v>1</v>
          </cell>
          <cell r="L131" t="str">
            <v>Un</v>
          </cell>
          <cell r="M131">
            <v>5.4000000000000006E-2</v>
          </cell>
        </row>
        <row r="132">
          <cell r="H132">
            <v>220100008</v>
          </cell>
          <cell r="I132" t="str">
            <v>Guardanapo Embalado</v>
          </cell>
          <cell r="J132">
            <v>7.1500000000000008E-2</v>
          </cell>
          <cell r="K132">
            <v>1</v>
          </cell>
          <cell r="L132" t="str">
            <v>Un</v>
          </cell>
          <cell r="M132">
            <v>7.1500000000000008E-2</v>
          </cell>
        </row>
        <row r="133">
          <cell r="H133">
            <v>210900005</v>
          </cell>
          <cell r="I133" t="str">
            <v>Stracciatella Meio Amarga</v>
          </cell>
          <cell r="J133">
            <v>0.37014900000000001</v>
          </cell>
          <cell r="K133">
            <v>1.2E-2</v>
          </cell>
          <cell r="L133" t="str">
            <v>Kg</v>
          </cell>
          <cell r="M133">
            <v>30.845749999999999</v>
          </cell>
        </row>
        <row r="134">
          <cell r="B134">
            <v>100200008</v>
          </cell>
          <cell r="C134">
            <v>1002</v>
          </cell>
          <cell r="D134" t="str">
            <v>Cascao Recheado Cobertura Chocolate</v>
          </cell>
          <cell r="E134">
            <v>2.262293362308581</v>
          </cell>
          <cell r="F134">
            <v>8.137745907584824</v>
          </cell>
          <cell r="H134">
            <v>210500004</v>
          </cell>
          <cell r="I134" t="str">
            <v>Cobertura Chocolate</v>
          </cell>
          <cell r="J134">
            <v>0.18069141914191419</v>
          </cell>
          <cell r="K134">
            <v>0.01</v>
          </cell>
          <cell r="L134" t="str">
            <v>Kg</v>
          </cell>
          <cell r="M134">
            <v>18.06914191419142</v>
          </cell>
        </row>
        <row r="135">
          <cell r="H135">
            <v>210100007</v>
          </cell>
          <cell r="I135" t="str">
            <v>Bebida Láctea Uht Sabores</v>
          </cell>
          <cell r="J135">
            <v>0.8948545200000001</v>
          </cell>
          <cell r="K135">
            <v>8.2000000000000003E-2</v>
          </cell>
          <cell r="L135" t="str">
            <v>Lt</v>
          </cell>
          <cell r="M135">
            <v>10.91286</v>
          </cell>
        </row>
        <row r="136">
          <cell r="H136">
            <v>216000009</v>
          </cell>
          <cell r="I136" t="str">
            <v>Canudinho Biju Wafer</v>
          </cell>
          <cell r="J136">
            <v>0.11329500000000001</v>
          </cell>
          <cell r="K136">
            <v>3.0000000000000001E-3</v>
          </cell>
          <cell r="L136" t="str">
            <v>Un</v>
          </cell>
          <cell r="M136">
            <v>37.765000000000001</v>
          </cell>
        </row>
        <row r="137">
          <cell r="H137">
            <v>211100001</v>
          </cell>
          <cell r="I137" t="str">
            <v>Cascão Tradicional Baunilha</v>
          </cell>
          <cell r="J137">
            <v>0.48024166666666668</v>
          </cell>
          <cell r="K137">
            <v>1</v>
          </cell>
          <cell r="L137" t="str">
            <v>Un</v>
          </cell>
          <cell r="M137">
            <v>0.48024166666666668</v>
          </cell>
        </row>
        <row r="138">
          <cell r="H138">
            <v>210200012</v>
          </cell>
          <cell r="I138" t="str">
            <v>Colher Pequena</v>
          </cell>
          <cell r="J138">
            <v>9.7561756500000013E-2</v>
          </cell>
          <cell r="K138">
            <v>1</v>
          </cell>
          <cell r="L138" t="str">
            <v>Un</v>
          </cell>
          <cell r="M138">
            <v>9.7561756500000013E-2</v>
          </cell>
        </row>
        <row r="139">
          <cell r="H139">
            <v>210200037</v>
          </cell>
          <cell r="I139" t="str">
            <v>Chiquinho - Cone Protetor</v>
          </cell>
          <cell r="J139">
            <v>5.4000000000000006E-2</v>
          </cell>
          <cell r="K139">
            <v>1</v>
          </cell>
          <cell r="L139" t="str">
            <v>Un</v>
          </cell>
          <cell r="M139">
            <v>5.4000000000000006E-2</v>
          </cell>
        </row>
        <row r="140">
          <cell r="H140">
            <v>220100008</v>
          </cell>
          <cell r="I140" t="str">
            <v>Guardanapo Embalado</v>
          </cell>
          <cell r="J140">
            <v>7.1500000000000008E-2</v>
          </cell>
          <cell r="K140">
            <v>1</v>
          </cell>
          <cell r="L140" t="str">
            <v>Un</v>
          </cell>
          <cell r="M140">
            <v>7.1500000000000008E-2</v>
          </cell>
        </row>
        <row r="141">
          <cell r="H141">
            <v>210900005</v>
          </cell>
          <cell r="I141" t="str">
            <v>Stracciatella Meio Amarga</v>
          </cell>
          <cell r="J141">
            <v>0.37014900000000001</v>
          </cell>
          <cell r="K141">
            <v>1.2E-2</v>
          </cell>
          <cell r="L141" t="str">
            <v>Kg</v>
          </cell>
          <cell r="M141">
            <v>30.845749999999999</v>
          </cell>
        </row>
        <row r="142">
          <cell r="B142">
            <v>100200009</v>
          </cell>
          <cell r="C142">
            <v>1002</v>
          </cell>
          <cell r="D142" t="str">
            <v>Cascao Recheado Cobertura Morango</v>
          </cell>
          <cell r="E142">
            <v>2.2790689398663369</v>
          </cell>
          <cell r="F142">
            <v>8.1980897117494127</v>
          </cell>
          <cell r="H142">
            <v>210500006</v>
          </cell>
          <cell r="I142" t="str">
            <v>Cobertura Morango</v>
          </cell>
          <cell r="J142">
            <v>0.19746699669966997</v>
          </cell>
          <cell r="K142">
            <v>0.01</v>
          </cell>
          <cell r="L142" t="str">
            <v>Kg</v>
          </cell>
          <cell r="M142">
            <v>19.746699669966997</v>
          </cell>
        </row>
        <row r="143">
          <cell r="H143">
            <v>210100007</v>
          </cell>
          <cell r="I143" t="str">
            <v>Bebida Láctea Uht Sabores</v>
          </cell>
          <cell r="J143">
            <v>0.8948545200000001</v>
          </cell>
          <cell r="K143">
            <v>8.2000000000000003E-2</v>
          </cell>
          <cell r="L143" t="str">
            <v>Lt</v>
          </cell>
          <cell r="M143">
            <v>10.91286</v>
          </cell>
        </row>
        <row r="144">
          <cell r="H144">
            <v>216000009</v>
          </cell>
          <cell r="I144" t="str">
            <v>Canudinho Biju Wafer</v>
          </cell>
          <cell r="J144">
            <v>0.11329500000000001</v>
          </cell>
          <cell r="K144">
            <v>3.0000000000000001E-3</v>
          </cell>
          <cell r="L144" t="str">
            <v>Un</v>
          </cell>
          <cell r="M144">
            <v>37.765000000000001</v>
          </cell>
        </row>
        <row r="145">
          <cell r="H145">
            <v>211100001</v>
          </cell>
          <cell r="I145" t="str">
            <v>Cascão Tradicional Baunilha</v>
          </cell>
          <cell r="J145">
            <v>0.48024166666666668</v>
          </cell>
          <cell r="K145">
            <v>1</v>
          </cell>
          <cell r="L145" t="str">
            <v>Un</v>
          </cell>
          <cell r="M145">
            <v>0.48024166666666668</v>
          </cell>
        </row>
        <row r="146">
          <cell r="H146">
            <v>210200012</v>
          </cell>
          <cell r="I146" t="str">
            <v>Colher Pequena</v>
          </cell>
          <cell r="J146">
            <v>9.7561756500000013E-2</v>
          </cell>
          <cell r="K146">
            <v>1</v>
          </cell>
          <cell r="L146" t="str">
            <v>Un</v>
          </cell>
          <cell r="M146">
            <v>9.7561756500000013E-2</v>
          </cell>
        </row>
        <row r="147">
          <cell r="H147">
            <v>210200037</v>
          </cell>
          <cell r="I147" t="str">
            <v>Chiquinho - Cone Protetor</v>
          </cell>
          <cell r="J147">
            <v>5.4000000000000006E-2</v>
          </cell>
          <cell r="K147">
            <v>1</v>
          </cell>
          <cell r="L147" t="str">
            <v>Un</v>
          </cell>
          <cell r="M147">
            <v>5.4000000000000006E-2</v>
          </cell>
        </row>
        <row r="148">
          <cell r="H148">
            <v>220100008</v>
          </cell>
          <cell r="I148" t="str">
            <v>Guardanapo Embalado</v>
          </cell>
          <cell r="J148">
            <v>7.1500000000000008E-2</v>
          </cell>
          <cell r="K148">
            <v>1</v>
          </cell>
          <cell r="L148" t="str">
            <v>Un</v>
          </cell>
          <cell r="M148">
            <v>7.1500000000000008E-2</v>
          </cell>
        </row>
        <row r="149">
          <cell r="H149">
            <v>210900005</v>
          </cell>
          <cell r="I149" t="str">
            <v>Stracciatella Meio Amarga</v>
          </cell>
          <cell r="J149">
            <v>0.37014900000000001</v>
          </cell>
          <cell r="K149">
            <v>1.2E-2</v>
          </cell>
          <cell r="L149" t="str">
            <v>Kg</v>
          </cell>
          <cell r="M149">
            <v>30.845749999999999</v>
          </cell>
        </row>
        <row r="150">
          <cell r="B150">
            <v>100200004</v>
          </cell>
          <cell r="C150">
            <v>1002</v>
          </cell>
          <cell r="D150" t="str">
            <v>Cascao Calda Quente</v>
          </cell>
          <cell r="E150">
            <v>2.0484826231666666</v>
          </cell>
          <cell r="F150">
            <v>7.3686425293764977</v>
          </cell>
          <cell r="H150">
            <v>210100007</v>
          </cell>
          <cell r="I150" t="str">
            <v>Bebida Láctea Uht Sabores</v>
          </cell>
          <cell r="J150">
            <v>1.0367217</v>
          </cell>
          <cell r="K150">
            <v>9.5000000000000001E-2</v>
          </cell>
          <cell r="L150" t="str">
            <v>Lt</v>
          </cell>
          <cell r="M150">
            <v>10.91286</v>
          </cell>
        </row>
        <row r="151">
          <cell r="H151">
            <v>211100001</v>
          </cell>
          <cell r="I151" t="str">
            <v>Cascão Tradicional Baunilha</v>
          </cell>
          <cell r="J151">
            <v>0.48024166666666668</v>
          </cell>
          <cell r="K151">
            <v>1</v>
          </cell>
          <cell r="L151" t="str">
            <v>Un</v>
          </cell>
          <cell r="M151">
            <v>0.48024166666666668</v>
          </cell>
        </row>
        <row r="152">
          <cell r="H152">
            <v>210200012</v>
          </cell>
          <cell r="I152" t="str">
            <v>Colher Pequena</v>
          </cell>
          <cell r="J152">
            <v>9.7561756500000013E-2</v>
          </cell>
          <cell r="K152">
            <v>1</v>
          </cell>
          <cell r="L152" t="str">
            <v>Un</v>
          </cell>
          <cell r="M152">
            <v>9.7561756500000013E-2</v>
          </cell>
        </row>
        <row r="153">
          <cell r="H153">
            <v>210200037</v>
          </cell>
          <cell r="I153" t="str">
            <v>Chiquinho - Cone Protetor</v>
          </cell>
          <cell r="J153">
            <v>5.4000000000000006E-2</v>
          </cell>
          <cell r="K153">
            <v>1</v>
          </cell>
          <cell r="L153" t="str">
            <v>Un</v>
          </cell>
          <cell r="M153">
            <v>5.4000000000000006E-2</v>
          </cell>
        </row>
        <row r="154">
          <cell r="H154">
            <v>220100008</v>
          </cell>
          <cell r="I154" t="str">
            <v>Guardanapo Embalado</v>
          </cell>
          <cell r="J154">
            <v>7.1500000000000008E-2</v>
          </cell>
          <cell r="K154">
            <v>1</v>
          </cell>
          <cell r="L154" t="str">
            <v>Un</v>
          </cell>
          <cell r="M154">
            <v>7.1500000000000008E-2</v>
          </cell>
        </row>
        <row r="155">
          <cell r="H155">
            <v>210900005</v>
          </cell>
          <cell r="I155" t="str">
            <v>Stracciatella Meio Amarga</v>
          </cell>
          <cell r="J155">
            <v>0.3084575</v>
          </cell>
          <cell r="K155">
            <v>0.01</v>
          </cell>
          <cell r="L155" t="str">
            <v>Kg</v>
          </cell>
          <cell r="M155">
            <v>30.845749999999999</v>
          </cell>
        </row>
        <row r="156">
          <cell r="B156">
            <v>100200064</v>
          </cell>
          <cell r="C156">
            <v>1002</v>
          </cell>
          <cell r="D156" t="str">
            <v>Cascao Trufado Tradicional</v>
          </cell>
          <cell r="E156">
            <v>2.7365958003095239</v>
          </cell>
          <cell r="F156">
            <v>9.8438697852860564</v>
          </cell>
          <cell r="H156">
            <v>210100007</v>
          </cell>
          <cell r="I156" t="str">
            <v>Bebida Láctea Uht Sabores</v>
          </cell>
          <cell r="J156">
            <v>0.8948545200000001</v>
          </cell>
          <cell r="K156">
            <v>8.2000000000000003E-2</v>
          </cell>
          <cell r="L156" t="str">
            <v>Lt</v>
          </cell>
          <cell r="M156">
            <v>10.91286</v>
          </cell>
        </row>
        <row r="157">
          <cell r="H157">
            <v>210900018</v>
          </cell>
          <cell r="I157" t="str">
            <v>Trufada Chiquinho</v>
          </cell>
          <cell r="J157">
            <v>1.0251428571428571</v>
          </cell>
          <cell r="K157">
            <v>2.3E-2</v>
          </cell>
          <cell r="L157" t="str">
            <v>Kg</v>
          </cell>
          <cell r="M157">
            <v>44.571428571428569</v>
          </cell>
        </row>
        <row r="158">
          <cell r="H158">
            <v>211100001</v>
          </cell>
          <cell r="I158" t="str">
            <v>Cascão Tradicional Baunilha</v>
          </cell>
          <cell r="J158">
            <v>0.48024166666666668</v>
          </cell>
          <cell r="K158">
            <v>1</v>
          </cell>
          <cell r="L158" t="str">
            <v>Un</v>
          </cell>
          <cell r="M158">
            <v>0.48024166666666668</v>
          </cell>
        </row>
        <row r="159">
          <cell r="H159">
            <v>210200037</v>
          </cell>
          <cell r="I159" t="str">
            <v>Chiquinho - Cone Protetor</v>
          </cell>
          <cell r="J159">
            <v>5.4000000000000006E-2</v>
          </cell>
          <cell r="K159">
            <v>1</v>
          </cell>
          <cell r="L159" t="str">
            <v>Un</v>
          </cell>
          <cell r="M159">
            <v>5.4000000000000006E-2</v>
          </cell>
        </row>
        <row r="160">
          <cell r="H160">
            <v>210200012</v>
          </cell>
          <cell r="I160" t="str">
            <v>Colher Pequena</v>
          </cell>
          <cell r="J160">
            <v>9.7561756500000013E-2</v>
          </cell>
          <cell r="K160">
            <v>1</v>
          </cell>
          <cell r="L160" t="str">
            <v>Un</v>
          </cell>
          <cell r="M160">
            <v>9.7561756500000013E-2</v>
          </cell>
        </row>
        <row r="161">
          <cell r="H161">
            <v>220100008</v>
          </cell>
          <cell r="I161" t="str">
            <v>Guardanapo Embalado</v>
          </cell>
          <cell r="J161">
            <v>7.1500000000000008E-2</v>
          </cell>
          <cell r="K161">
            <v>1</v>
          </cell>
          <cell r="L161" t="str">
            <v>Un</v>
          </cell>
          <cell r="M161">
            <v>7.1500000000000008E-2</v>
          </cell>
        </row>
        <row r="162">
          <cell r="H162">
            <v>216000009</v>
          </cell>
          <cell r="I162" t="str">
            <v>Canudinho Biju Wafer</v>
          </cell>
          <cell r="J162">
            <v>0.11329500000000001</v>
          </cell>
          <cell r="K162">
            <v>3.0000000000000001E-3</v>
          </cell>
          <cell r="L162" t="str">
            <v>Un</v>
          </cell>
          <cell r="M162">
            <v>37.765000000000001</v>
          </cell>
        </row>
        <row r="163">
          <cell r="B163">
            <v>100200056</v>
          </cell>
          <cell r="C163">
            <v>1002</v>
          </cell>
          <cell r="D163" t="str">
            <v>Cascao Trufado Brigadeiro</v>
          </cell>
          <cell r="E163">
            <v>2.8640215428837812</v>
          </cell>
          <cell r="F163">
            <v>10.302235765768996</v>
          </cell>
          <cell r="H163">
            <v>210100007</v>
          </cell>
          <cell r="I163" t="str">
            <v>Bebida Láctea Uht Sabores</v>
          </cell>
          <cell r="J163">
            <v>0.8948545200000001</v>
          </cell>
          <cell r="K163">
            <v>8.2000000000000003E-2</v>
          </cell>
          <cell r="L163" t="str">
            <v>Lt</v>
          </cell>
          <cell r="M163">
            <v>10.91286</v>
          </cell>
        </row>
        <row r="164">
          <cell r="H164">
            <v>210900009</v>
          </cell>
          <cell r="I164" t="str">
            <v>Chocolate Granulado</v>
          </cell>
          <cell r="J164">
            <v>0.12742574257425743</v>
          </cell>
          <cell r="K164">
            <v>6.0000000000000001E-3</v>
          </cell>
          <cell r="L164" t="str">
            <v>Kg</v>
          </cell>
          <cell r="M164">
            <v>21.237623762376238</v>
          </cell>
        </row>
        <row r="165">
          <cell r="H165">
            <v>210900018</v>
          </cell>
          <cell r="I165" t="str">
            <v>Trufada Chiquinho</v>
          </cell>
          <cell r="J165">
            <v>1.0251428571428571</v>
          </cell>
          <cell r="K165">
            <v>2.3E-2</v>
          </cell>
          <cell r="L165" t="str">
            <v>Lt</v>
          </cell>
          <cell r="M165">
            <v>44.571428571428569</v>
          </cell>
        </row>
        <row r="166">
          <cell r="H166">
            <v>211100001</v>
          </cell>
          <cell r="I166" t="str">
            <v>Cascão Tradicional Baunilha</v>
          </cell>
          <cell r="J166">
            <v>0.48024166666666668</v>
          </cell>
          <cell r="K166">
            <v>1</v>
          </cell>
          <cell r="L166" t="str">
            <v>Un</v>
          </cell>
          <cell r="M166">
            <v>0.48024166666666668</v>
          </cell>
        </row>
        <row r="167">
          <cell r="H167">
            <v>210200012</v>
          </cell>
          <cell r="I167" t="str">
            <v>Colher Pequena</v>
          </cell>
          <cell r="J167">
            <v>9.7561756500000013E-2</v>
          </cell>
          <cell r="K167">
            <v>1</v>
          </cell>
          <cell r="L167" t="str">
            <v>Un</v>
          </cell>
          <cell r="M167">
            <v>9.7561756500000013E-2</v>
          </cell>
        </row>
        <row r="168">
          <cell r="H168">
            <v>210200037</v>
          </cell>
          <cell r="I168" t="str">
            <v>Chiquinho - Cone Protetor</v>
          </cell>
          <cell r="J168">
            <v>5.4000000000000006E-2</v>
          </cell>
          <cell r="K168">
            <v>1</v>
          </cell>
          <cell r="L168" t="str">
            <v>Un</v>
          </cell>
          <cell r="M168">
            <v>5.4000000000000006E-2</v>
          </cell>
        </row>
        <row r="169">
          <cell r="H169">
            <v>220100008</v>
          </cell>
          <cell r="I169" t="str">
            <v>Guardanapo Embalado</v>
          </cell>
          <cell r="J169">
            <v>7.1500000000000008E-2</v>
          </cell>
          <cell r="K169">
            <v>1</v>
          </cell>
          <cell r="L169" t="str">
            <v>Un</v>
          </cell>
          <cell r="M169">
            <v>7.1500000000000008E-2</v>
          </cell>
        </row>
        <row r="170">
          <cell r="H170">
            <v>216000009</v>
          </cell>
          <cell r="I170" t="str">
            <v>Canudinho Biju Wafer</v>
          </cell>
          <cell r="J170">
            <v>0.11329500000000001</v>
          </cell>
          <cell r="K170">
            <v>3.0000000000000001E-3</v>
          </cell>
          <cell r="L170" t="str">
            <v>Un</v>
          </cell>
          <cell r="M170">
            <v>37.765000000000001</v>
          </cell>
        </row>
        <row r="171">
          <cell r="B171">
            <v>100200052</v>
          </cell>
          <cell r="C171">
            <v>1002</v>
          </cell>
          <cell r="D171" t="str">
            <v>Cascao Trufado Amendoim</v>
          </cell>
          <cell r="E171">
            <v>2.8633708003095237</v>
          </cell>
          <cell r="F171">
            <v>10.299894965142171</v>
          </cell>
          <cell r="H171">
            <v>210100007</v>
          </cell>
          <cell r="I171" t="str">
            <v>Bebida Láctea Uht Sabores</v>
          </cell>
          <cell r="J171">
            <v>0.8948545200000001</v>
          </cell>
          <cell r="K171">
            <v>8.2000000000000003E-2</v>
          </cell>
          <cell r="L171" t="str">
            <v>Lt</v>
          </cell>
          <cell r="M171">
            <v>10.91286</v>
          </cell>
        </row>
        <row r="172">
          <cell r="H172">
            <v>216000002</v>
          </cell>
          <cell r="I172" t="str">
            <v>Amendoim Triturado</v>
          </cell>
          <cell r="J172">
            <v>0.126775</v>
          </cell>
          <cell r="K172">
            <v>5.0000000000000001E-3</v>
          </cell>
          <cell r="L172" t="str">
            <v>Kg</v>
          </cell>
          <cell r="M172">
            <v>25.355</v>
          </cell>
        </row>
        <row r="173">
          <cell r="H173">
            <v>210900018</v>
          </cell>
          <cell r="I173" t="str">
            <v>Trufada Chiquinho</v>
          </cell>
          <cell r="J173">
            <v>1.0251428571428571</v>
          </cell>
          <cell r="K173">
            <v>2.3E-2</v>
          </cell>
          <cell r="L173" t="str">
            <v>Lt</v>
          </cell>
          <cell r="M173">
            <v>44.571428571428569</v>
          </cell>
        </row>
        <row r="174">
          <cell r="H174">
            <v>211100001</v>
          </cell>
          <cell r="I174" t="str">
            <v>Cascão Tradicional Baunilha</v>
          </cell>
          <cell r="J174">
            <v>0.48024166666666668</v>
          </cell>
          <cell r="K174">
            <v>1</v>
          </cell>
          <cell r="L174" t="str">
            <v>Un</v>
          </cell>
          <cell r="M174">
            <v>0.48024166666666668</v>
          </cell>
        </row>
        <row r="175">
          <cell r="H175">
            <v>210200012</v>
          </cell>
          <cell r="I175" t="str">
            <v>Colher Pequena</v>
          </cell>
          <cell r="J175">
            <v>9.7561756500000013E-2</v>
          </cell>
          <cell r="K175">
            <v>1</v>
          </cell>
          <cell r="L175" t="str">
            <v>Un</v>
          </cell>
          <cell r="M175">
            <v>9.7561756500000013E-2</v>
          </cell>
        </row>
        <row r="176">
          <cell r="H176">
            <v>210200037</v>
          </cell>
          <cell r="I176" t="str">
            <v>Chiquinho - Cone Protetor</v>
          </cell>
          <cell r="J176">
            <v>5.4000000000000006E-2</v>
          </cell>
          <cell r="K176">
            <v>1</v>
          </cell>
          <cell r="L176" t="str">
            <v>Un</v>
          </cell>
          <cell r="M176">
            <v>5.4000000000000006E-2</v>
          </cell>
        </row>
        <row r="177">
          <cell r="H177">
            <v>220100008</v>
          </cell>
          <cell r="I177" t="str">
            <v>Guardanapo Embalado</v>
          </cell>
          <cell r="J177">
            <v>7.1500000000000008E-2</v>
          </cell>
          <cell r="K177">
            <v>1</v>
          </cell>
          <cell r="L177" t="str">
            <v>Un</v>
          </cell>
          <cell r="M177">
            <v>7.1500000000000008E-2</v>
          </cell>
        </row>
        <row r="178">
          <cell r="H178">
            <v>216000009</v>
          </cell>
          <cell r="I178" t="str">
            <v>Canudinho Biju Wafer</v>
          </cell>
          <cell r="J178">
            <v>0.11329500000000001</v>
          </cell>
          <cell r="K178">
            <v>3.0000000000000001E-3</v>
          </cell>
          <cell r="L178" t="str">
            <v>Un</v>
          </cell>
          <cell r="M178">
            <v>37.765000000000001</v>
          </cell>
        </row>
        <row r="179">
          <cell r="B179">
            <v>100200070</v>
          </cell>
          <cell r="C179">
            <v>1002</v>
          </cell>
          <cell r="D179" t="str">
            <v>Cascao Trufado c/ Nutella</v>
          </cell>
          <cell r="E179">
            <v>3.3322552764999998</v>
          </cell>
          <cell r="F179">
            <v>11.986529771582731</v>
          </cell>
          <cell r="H179">
            <v>210100007</v>
          </cell>
          <cell r="I179" t="str">
            <v>Bebida Láctea UHT Sabores</v>
          </cell>
          <cell r="J179">
            <v>0.8948545200000001</v>
          </cell>
          <cell r="K179">
            <v>8.2000000000000003E-2</v>
          </cell>
          <cell r="L179" t="str">
            <v>Lt</v>
          </cell>
          <cell r="M179">
            <v>10.91286</v>
          </cell>
        </row>
        <row r="180">
          <cell r="H180">
            <v>211100001</v>
          </cell>
          <cell r="I180" t="str">
            <v>Cascão Tradicional Baunilha</v>
          </cell>
          <cell r="J180">
            <v>0.48024166666666668</v>
          </cell>
          <cell r="K180">
            <v>1</v>
          </cell>
          <cell r="L180" t="str">
            <v>Kg</v>
          </cell>
          <cell r="M180">
            <v>0.48024166666666668</v>
          </cell>
        </row>
        <row r="181">
          <cell r="H181">
            <v>216000050</v>
          </cell>
          <cell r="I181" t="str">
            <v>Nutella</v>
          </cell>
          <cell r="J181">
            <v>1.6208023333333335</v>
          </cell>
          <cell r="K181">
            <v>2.3E-2</v>
          </cell>
          <cell r="L181" t="str">
            <v>kg</v>
          </cell>
          <cell r="M181">
            <v>70.469666666666669</v>
          </cell>
        </row>
        <row r="182">
          <cell r="H182">
            <v>216000009</v>
          </cell>
          <cell r="I182" t="str">
            <v>Canudinho Biju Wafer</v>
          </cell>
          <cell r="J182">
            <v>0.11329500000000001</v>
          </cell>
          <cell r="K182">
            <v>3.0000000000000001E-3</v>
          </cell>
          <cell r="L182" t="str">
            <v>Un</v>
          </cell>
          <cell r="M182">
            <v>37.765000000000001</v>
          </cell>
        </row>
        <row r="183">
          <cell r="H183">
            <v>210200012</v>
          </cell>
          <cell r="I183" t="str">
            <v>Colher Pequena</v>
          </cell>
          <cell r="J183">
            <v>9.7561756500000013E-2</v>
          </cell>
          <cell r="K183">
            <v>1</v>
          </cell>
          <cell r="L183" t="str">
            <v>Un</v>
          </cell>
          <cell r="M183">
            <v>9.7561756500000013E-2</v>
          </cell>
        </row>
        <row r="184">
          <cell r="H184">
            <v>220100008</v>
          </cell>
          <cell r="I184" t="str">
            <v>Guardanapo Embalado</v>
          </cell>
          <cell r="J184">
            <v>7.1500000000000008E-2</v>
          </cell>
          <cell r="K184">
            <v>1</v>
          </cell>
          <cell r="L184" t="str">
            <v>Un</v>
          </cell>
          <cell r="M184">
            <v>7.1500000000000008E-2</v>
          </cell>
        </row>
        <row r="185">
          <cell r="H185">
            <v>210200037</v>
          </cell>
          <cell r="I185" t="str">
            <v>Chiquinho - Cone Protetor</v>
          </cell>
          <cell r="J185">
            <v>5.4000000000000006E-2</v>
          </cell>
          <cell r="K185">
            <v>1</v>
          </cell>
          <cell r="L185" t="str">
            <v>Un</v>
          </cell>
          <cell r="M185">
            <v>5.4000000000000006E-2</v>
          </cell>
        </row>
        <row r="186">
          <cell r="B186">
            <v>100200073</v>
          </cell>
          <cell r="C186">
            <v>1002</v>
          </cell>
          <cell r="D186" t="str">
            <v>Cascao Trufado c/ Nutella e borda de brigadeiro</v>
          </cell>
          <cell r="E186">
            <v>3.4596810190742571</v>
          </cell>
          <cell r="F186">
            <v>12.444895752065673</v>
          </cell>
          <cell r="H186">
            <v>210100007</v>
          </cell>
          <cell r="I186" t="str">
            <v>Bebida Láctea UHT Sabores</v>
          </cell>
          <cell r="J186">
            <v>0.8948545200000001</v>
          </cell>
          <cell r="K186">
            <v>8.2000000000000003E-2</v>
          </cell>
          <cell r="L186" t="str">
            <v>Lt</v>
          </cell>
          <cell r="M186">
            <v>10.91286</v>
          </cell>
        </row>
        <row r="187">
          <cell r="H187">
            <v>211100001</v>
          </cell>
          <cell r="I187" t="str">
            <v>Cascão Tradicional Baunilha</v>
          </cell>
          <cell r="J187">
            <v>0.48024166666666668</v>
          </cell>
          <cell r="K187">
            <v>1</v>
          </cell>
          <cell r="L187" t="str">
            <v>Kg</v>
          </cell>
          <cell r="M187">
            <v>0.48024166666666668</v>
          </cell>
        </row>
        <row r="188">
          <cell r="H188">
            <v>216000050</v>
          </cell>
          <cell r="I188" t="str">
            <v>Nutella</v>
          </cell>
          <cell r="J188">
            <v>1.6208023333333335</v>
          </cell>
          <cell r="K188">
            <v>2.3E-2</v>
          </cell>
          <cell r="L188" t="str">
            <v>kg</v>
          </cell>
          <cell r="M188">
            <v>70.469666666666669</v>
          </cell>
        </row>
        <row r="189">
          <cell r="H189">
            <v>216000009</v>
          </cell>
          <cell r="I189" t="str">
            <v>Canudinho Biju Wafer</v>
          </cell>
          <cell r="J189">
            <v>0.11329500000000001</v>
          </cell>
          <cell r="K189">
            <v>3.0000000000000001E-3</v>
          </cell>
          <cell r="L189" t="str">
            <v>Un</v>
          </cell>
          <cell r="M189">
            <v>37.765000000000001</v>
          </cell>
        </row>
        <row r="190">
          <cell r="H190">
            <v>210200012</v>
          </cell>
          <cell r="I190" t="str">
            <v>Colher Pequena</v>
          </cell>
          <cell r="J190">
            <v>9.7561756500000013E-2</v>
          </cell>
          <cell r="K190">
            <v>1</v>
          </cell>
          <cell r="L190" t="str">
            <v>Un</v>
          </cell>
          <cell r="M190">
            <v>9.7561756500000013E-2</v>
          </cell>
        </row>
        <row r="191">
          <cell r="H191">
            <v>210200037</v>
          </cell>
          <cell r="I191" t="str">
            <v>Chiquinho - Cone Protetor</v>
          </cell>
          <cell r="J191">
            <v>5.4000000000000006E-2</v>
          </cell>
          <cell r="K191">
            <v>1</v>
          </cell>
          <cell r="L191" t="str">
            <v>Un</v>
          </cell>
          <cell r="M191">
            <v>5.4000000000000006E-2</v>
          </cell>
        </row>
        <row r="192">
          <cell r="H192">
            <v>220100008</v>
          </cell>
          <cell r="I192" t="str">
            <v>Guardanapo Embalado</v>
          </cell>
          <cell r="J192">
            <v>7.1500000000000008E-2</v>
          </cell>
          <cell r="K192">
            <v>1</v>
          </cell>
          <cell r="L192" t="str">
            <v>Un</v>
          </cell>
          <cell r="M192">
            <v>7.1500000000000008E-2</v>
          </cell>
        </row>
        <row r="193">
          <cell r="H193">
            <v>210900009</v>
          </cell>
          <cell r="I193" t="str">
            <v>Chocolate Granulado</v>
          </cell>
          <cell r="J193">
            <v>0.12742574257425743</v>
          </cell>
          <cell r="K193">
            <v>6.0000000000000001E-3</v>
          </cell>
          <cell r="L193" t="str">
            <v>kg</v>
          </cell>
          <cell r="M193">
            <v>21.237623762376238</v>
          </cell>
        </row>
        <row r="194">
          <cell r="B194">
            <v>100200076</v>
          </cell>
          <cell r="C194">
            <v>1002</v>
          </cell>
          <cell r="D194" t="str">
            <v>Cascao Trufado c/ Nutella e borda de amendoim</v>
          </cell>
          <cell r="E194">
            <v>3.4590302764999996</v>
          </cell>
          <cell r="F194">
            <v>12.442554951438847</v>
          </cell>
          <cell r="H194">
            <v>210100007</v>
          </cell>
          <cell r="I194" t="str">
            <v>Bebida Láctea UHT Sabores</v>
          </cell>
          <cell r="J194">
            <v>0.8948545200000001</v>
          </cell>
          <cell r="K194">
            <v>8.2000000000000003E-2</v>
          </cell>
          <cell r="L194" t="str">
            <v>Lt</v>
          </cell>
          <cell r="M194">
            <v>10.91286</v>
          </cell>
        </row>
        <row r="195">
          <cell r="H195">
            <v>211100001</v>
          </cell>
          <cell r="I195" t="str">
            <v>Cascão Tradicional Baunilha</v>
          </cell>
          <cell r="J195">
            <v>0.48024166666666668</v>
          </cell>
          <cell r="K195">
            <v>1</v>
          </cell>
          <cell r="L195" t="str">
            <v>Kg</v>
          </cell>
          <cell r="M195">
            <v>0.48024166666666668</v>
          </cell>
        </row>
        <row r="196">
          <cell r="H196">
            <v>216000050</v>
          </cell>
          <cell r="I196" t="str">
            <v>Nutella</v>
          </cell>
          <cell r="J196">
            <v>1.6208023333333335</v>
          </cell>
          <cell r="K196">
            <v>2.3E-2</v>
          </cell>
          <cell r="L196" t="str">
            <v>kg</v>
          </cell>
          <cell r="M196">
            <v>70.469666666666669</v>
          </cell>
        </row>
        <row r="197">
          <cell r="H197">
            <v>216000009</v>
          </cell>
          <cell r="I197" t="str">
            <v>Canudinho Biju Wafer</v>
          </cell>
          <cell r="J197">
            <v>0.11329500000000001</v>
          </cell>
          <cell r="K197">
            <v>3.0000000000000001E-3</v>
          </cell>
          <cell r="L197" t="str">
            <v>Un</v>
          </cell>
          <cell r="M197">
            <v>37.765000000000001</v>
          </cell>
        </row>
        <row r="198">
          <cell r="H198">
            <v>210200012</v>
          </cell>
          <cell r="I198" t="str">
            <v>Colher Pequena</v>
          </cell>
          <cell r="J198">
            <v>9.7561756500000013E-2</v>
          </cell>
          <cell r="K198">
            <v>1</v>
          </cell>
          <cell r="L198" t="str">
            <v>Un</v>
          </cell>
          <cell r="M198">
            <v>9.7561756500000013E-2</v>
          </cell>
        </row>
        <row r="199">
          <cell r="H199">
            <v>210200037</v>
          </cell>
          <cell r="I199" t="str">
            <v>Chiquinho - Cone Protetor</v>
          </cell>
          <cell r="J199">
            <v>5.4000000000000006E-2</v>
          </cell>
          <cell r="K199">
            <v>1</v>
          </cell>
          <cell r="L199" t="str">
            <v>Un</v>
          </cell>
          <cell r="M199">
            <v>5.4000000000000006E-2</v>
          </cell>
        </row>
        <row r="200">
          <cell r="H200">
            <v>220100008</v>
          </cell>
          <cell r="I200" t="str">
            <v>Guardanapo Embalado</v>
          </cell>
          <cell r="J200">
            <v>7.1500000000000008E-2</v>
          </cell>
          <cell r="K200">
            <v>1</v>
          </cell>
          <cell r="L200" t="str">
            <v>Un</v>
          </cell>
          <cell r="M200">
            <v>7.1500000000000008E-2</v>
          </cell>
        </row>
        <row r="201">
          <cell r="H201">
            <v>216000002</v>
          </cell>
          <cell r="I201" t="str">
            <v>Amendoim Triturado</v>
          </cell>
          <cell r="J201">
            <v>0.126775</v>
          </cell>
          <cell r="K201">
            <v>5.0000000000000001E-3</v>
          </cell>
          <cell r="L201" t="str">
            <v>kg</v>
          </cell>
          <cell r="M201">
            <v>25.355</v>
          </cell>
        </row>
        <row r="202">
          <cell r="B202">
            <v>100200079</v>
          </cell>
          <cell r="C202">
            <v>1002</v>
          </cell>
          <cell r="D202" t="str">
            <v>Cascao Trufado c/ Doce de Leite</v>
          </cell>
          <cell r="E202">
            <v>2.2348879431666666</v>
          </cell>
          <cell r="F202">
            <v>8.0391652631894477</v>
          </cell>
          <cell r="H202">
            <v>210100007</v>
          </cell>
          <cell r="I202" t="str">
            <v>Bebida Láctea UHT Sabores</v>
          </cell>
          <cell r="J202">
            <v>0.8948545200000001</v>
          </cell>
          <cell r="K202">
            <v>8.2000000000000003E-2</v>
          </cell>
          <cell r="L202" t="str">
            <v>Lt</v>
          </cell>
          <cell r="M202">
            <v>10.91286</v>
          </cell>
        </row>
        <row r="203">
          <cell r="H203">
            <v>211100001</v>
          </cell>
          <cell r="I203" t="str">
            <v>Cascão Tradicional Baunilha</v>
          </cell>
          <cell r="J203">
            <v>0.48024166666666668</v>
          </cell>
          <cell r="K203">
            <v>1</v>
          </cell>
          <cell r="L203" t="str">
            <v>Kg</v>
          </cell>
          <cell r="M203">
            <v>0.48024166666666668</v>
          </cell>
        </row>
        <row r="204">
          <cell r="H204">
            <v>216000015</v>
          </cell>
          <cell r="I204" t="str">
            <v>Doce de Leite</v>
          </cell>
          <cell r="J204">
            <v>0.52343500000000009</v>
          </cell>
          <cell r="K204">
            <v>2.4E-2</v>
          </cell>
          <cell r="L204" t="str">
            <v>kg</v>
          </cell>
          <cell r="M204">
            <v>21.809791666666669</v>
          </cell>
        </row>
        <row r="205">
          <cell r="H205">
            <v>216000009</v>
          </cell>
          <cell r="I205" t="str">
            <v>Canudinho Biju Wafer</v>
          </cell>
          <cell r="J205">
            <v>0.11329500000000001</v>
          </cell>
          <cell r="K205">
            <v>3.0000000000000001E-3</v>
          </cell>
          <cell r="L205" t="str">
            <v>Un</v>
          </cell>
          <cell r="M205">
            <v>37.765000000000001</v>
          </cell>
        </row>
        <row r="206">
          <cell r="H206">
            <v>210200012</v>
          </cell>
          <cell r="I206" t="str">
            <v>Colher Pequena</v>
          </cell>
          <cell r="J206">
            <v>9.7561756500000013E-2</v>
          </cell>
          <cell r="K206">
            <v>1</v>
          </cell>
          <cell r="L206" t="str">
            <v>Un</v>
          </cell>
          <cell r="M206">
            <v>9.7561756500000013E-2</v>
          </cell>
        </row>
        <row r="207">
          <cell r="H207">
            <v>220100008</v>
          </cell>
          <cell r="I207" t="str">
            <v>Guardanapo Embalado</v>
          </cell>
          <cell r="J207">
            <v>7.1500000000000008E-2</v>
          </cell>
          <cell r="K207">
            <v>1</v>
          </cell>
          <cell r="L207" t="str">
            <v>Un</v>
          </cell>
          <cell r="M207">
            <v>7.1500000000000008E-2</v>
          </cell>
        </row>
        <row r="208">
          <cell r="H208">
            <v>210200037</v>
          </cell>
          <cell r="I208" t="str">
            <v>Chiquinho - Cone Protetor</v>
          </cell>
          <cell r="J208">
            <v>5.4000000000000006E-2</v>
          </cell>
          <cell r="K208">
            <v>1</v>
          </cell>
          <cell r="L208" t="str">
            <v>Un</v>
          </cell>
          <cell r="M208">
            <v>5.4000000000000006E-2</v>
          </cell>
        </row>
        <row r="209">
          <cell r="B209">
            <v>100200082</v>
          </cell>
          <cell r="C209">
            <v>1002</v>
          </cell>
          <cell r="D209" t="str">
            <v>Cascao Trufado c/ Doce de leite e borda de brigadeiro</v>
          </cell>
          <cell r="E209">
            <v>2.3623136857409239</v>
          </cell>
          <cell r="F209">
            <v>8.4975312436723875</v>
          </cell>
          <cell r="H209">
            <v>210100007</v>
          </cell>
          <cell r="I209" t="str">
            <v>Bebida Láctea UHT Sabores</v>
          </cell>
          <cell r="J209">
            <v>0.8948545200000001</v>
          </cell>
          <cell r="K209">
            <v>8.2000000000000003E-2</v>
          </cell>
          <cell r="L209" t="str">
            <v>Lt</v>
          </cell>
          <cell r="M209">
            <v>10.91286</v>
          </cell>
        </row>
        <row r="210">
          <cell r="H210">
            <v>211100001</v>
          </cell>
          <cell r="I210" t="str">
            <v>Cascão Tradicional Baunilha</v>
          </cell>
          <cell r="J210">
            <v>0.48024166666666668</v>
          </cell>
          <cell r="K210">
            <v>1</v>
          </cell>
          <cell r="L210" t="str">
            <v>Kg</v>
          </cell>
          <cell r="M210">
            <v>0.48024166666666668</v>
          </cell>
        </row>
        <row r="211">
          <cell r="H211">
            <v>216000015</v>
          </cell>
          <cell r="I211" t="str">
            <v>Doce de Leite</v>
          </cell>
          <cell r="J211">
            <v>0.52343500000000009</v>
          </cell>
          <cell r="K211">
            <v>2.4E-2</v>
          </cell>
          <cell r="L211" t="str">
            <v>kg</v>
          </cell>
          <cell r="M211">
            <v>21.809791666666669</v>
          </cell>
        </row>
        <row r="212">
          <cell r="H212">
            <v>216000009</v>
          </cell>
          <cell r="I212" t="str">
            <v>Canudinho Biju Wafer</v>
          </cell>
          <cell r="J212">
            <v>0.11329500000000001</v>
          </cell>
          <cell r="K212">
            <v>3.0000000000000001E-3</v>
          </cell>
          <cell r="L212" t="str">
            <v>Un</v>
          </cell>
          <cell r="M212">
            <v>37.765000000000001</v>
          </cell>
        </row>
        <row r="213">
          <cell r="H213">
            <v>210200012</v>
          </cell>
          <cell r="I213" t="str">
            <v>Colher Pequena</v>
          </cell>
          <cell r="J213">
            <v>9.7561756500000013E-2</v>
          </cell>
          <cell r="K213">
            <v>1</v>
          </cell>
          <cell r="L213" t="str">
            <v>Un</v>
          </cell>
          <cell r="M213">
            <v>9.7561756500000013E-2</v>
          </cell>
        </row>
        <row r="214">
          <cell r="H214">
            <v>210200037</v>
          </cell>
          <cell r="I214" t="str">
            <v>Chiquinho - Cone Protetor</v>
          </cell>
          <cell r="J214">
            <v>5.4000000000000006E-2</v>
          </cell>
          <cell r="K214">
            <v>1</v>
          </cell>
          <cell r="L214" t="str">
            <v>Un</v>
          </cell>
          <cell r="M214">
            <v>5.4000000000000006E-2</v>
          </cell>
        </row>
        <row r="215">
          <cell r="H215">
            <v>220100008</v>
          </cell>
          <cell r="I215" t="str">
            <v>Guardanapo Embalado</v>
          </cell>
          <cell r="J215">
            <v>7.1500000000000008E-2</v>
          </cell>
          <cell r="K215">
            <v>1</v>
          </cell>
          <cell r="L215" t="str">
            <v>Un</v>
          </cell>
          <cell r="M215">
            <v>7.1500000000000008E-2</v>
          </cell>
        </row>
        <row r="216">
          <cell r="H216">
            <v>210900009</v>
          </cell>
          <cell r="I216" t="str">
            <v>Chocolate Granulado</v>
          </cell>
          <cell r="J216">
            <v>0.12742574257425743</v>
          </cell>
          <cell r="K216">
            <v>6.0000000000000001E-3</v>
          </cell>
          <cell r="L216" t="str">
            <v>kg</v>
          </cell>
          <cell r="M216">
            <v>21.237623762376238</v>
          </cell>
        </row>
        <row r="217">
          <cell r="B217">
            <v>100200085</v>
          </cell>
          <cell r="C217">
            <v>1002</v>
          </cell>
          <cell r="D217" t="str">
            <v>Cascao Trufado c/ Doce de leite e borda de amendoim</v>
          </cell>
          <cell r="E217">
            <v>2.3616629431666665</v>
          </cell>
          <cell r="F217">
            <v>8.495190443045562</v>
          </cell>
          <cell r="H217">
            <v>210100007</v>
          </cell>
          <cell r="I217" t="str">
            <v>Bebida Láctea UHT Sabores</v>
          </cell>
          <cell r="J217">
            <v>0.8948545200000001</v>
          </cell>
          <cell r="K217">
            <v>8.2000000000000003E-2</v>
          </cell>
          <cell r="L217" t="str">
            <v>Lt</v>
          </cell>
          <cell r="M217">
            <v>10.91286</v>
          </cell>
        </row>
        <row r="218">
          <cell r="H218">
            <v>211100001</v>
          </cell>
          <cell r="I218" t="str">
            <v>Cascão Tradicional Baunilha</v>
          </cell>
          <cell r="J218">
            <v>0.48024166666666668</v>
          </cell>
          <cell r="K218">
            <v>1</v>
          </cell>
          <cell r="L218" t="str">
            <v>Kg</v>
          </cell>
          <cell r="M218">
            <v>0.48024166666666668</v>
          </cell>
        </row>
        <row r="219">
          <cell r="H219">
            <v>216000015</v>
          </cell>
          <cell r="I219" t="str">
            <v>Doce de Leite</v>
          </cell>
          <cell r="J219">
            <v>0.52343500000000009</v>
          </cell>
          <cell r="K219">
            <v>2.4E-2</v>
          </cell>
          <cell r="L219" t="str">
            <v>kg</v>
          </cell>
          <cell r="M219">
            <v>21.809791666666669</v>
          </cell>
        </row>
        <row r="220">
          <cell r="H220">
            <v>216000009</v>
          </cell>
          <cell r="I220" t="str">
            <v>Canudinho Biju Wafer</v>
          </cell>
          <cell r="J220">
            <v>0.11329500000000001</v>
          </cell>
          <cell r="K220">
            <v>3.0000000000000001E-3</v>
          </cell>
          <cell r="L220" t="str">
            <v>Un</v>
          </cell>
          <cell r="M220">
            <v>37.765000000000001</v>
          </cell>
        </row>
        <row r="221">
          <cell r="H221">
            <v>210200012</v>
          </cell>
          <cell r="I221" t="str">
            <v>Colher Pequena</v>
          </cell>
          <cell r="J221">
            <v>9.7561756500000013E-2</v>
          </cell>
          <cell r="K221">
            <v>1</v>
          </cell>
          <cell r="L221" t="str">
            <v>Un</v>
          </cell>
          <cell r="M221">
            <v>9.7561756500000013E-2</v>
          </cell>
        </row>
        <row r="222">
          <cell r="H222">
            <v>210200037</v>
          </cell>
          <cell r="I222" t="str">
            <v>Chiquinho - Cone Protetor</v>
          </cell>
          <cell r="J222">
            <v>5.4000000000000006E-2</v>
          </cell>
          <cell r="K222">
            <v>1</v>
          </cell>
          <cell r="L222" t="str">
            <v>Un</v>
          </cell>
          <cell r="M222">
            <v>5.4000000000000006E-2</v>
          </cell>
        </row>
        <row r="223">
          <cell r="H223">
            <v>220100008</v>
          </cell>
          <cell r="I223" t="str">
            <v>Guardanapo Embalado</v>
          </cell>
          <cell r="J223">
            <v>7.1500000000000008E-2</v>
          </cell>
          <cell r="K223">
            <v>1</v>
          </cell>
          <cell r="L223" t="str">
            <v>Un</v>
          </cell>
          <cell r="M223">
            <v>7.1500000000000008E-2</v>
          </cell>
        </row>
        <row r="224">
          <cell r="H224">
            <v>216000002</v>
          </cell>
          <cell r="I224" t="str">
            <v>Amendoim Triturado</v>
          </cell>
          <cell r="J224">
            <v>0.126775</v>
          </cell>
          <cell r="K224">
            <v>5.0000000000000001E-3</v>
          </cell>
          <cell r="L224" t="str">
            <v>kg</v>
          </cell>
          <cell r="M224">
            <v>25.355</v>
          </cell>
        </row>
        <row r="225">
          <cell r="B225">
            <v>100200077</v>
          </cell>
          <cell r="C225">
            <v>1002</v>
          </cell>
          <cell r="D225" t="str">
            <v>Cascao Trufado com Nutella e Banana</v>
          </cell>
          <cell r="E225">
            <v>3.6847038833333325</v>
          </cell>
          <cell r="F225">
            <v>13.254330515587526</v>
          </cell>
          <cell r="H225">
            <v>210100007</v>
          </cell>
          <cell r="I225" t="str">
            <v>Bebida Láctea Uht Sabores</v>
          </cell>
          <cell r="J225">
            <v>0.84029021999999998</v>
          </cell>
          <cell r="K225">
            <v>7.6999999999999999E-2</v>
          </cell>
          <cell r="L225" t="str">
            <v>Lt</v>
          </cell>
          <cell r="M225">
            <v>10.91286</v>
          </cell>
        </row>
        <row r="226">
          <cell r="H226">
            <v>216000050</v>
          </cell>
          <cell r="I226" t="str">
            <v>Nutella</v>
          </cell>
          <cell r="J226">
            <v>1.7617416666666668</v>
          </cell>
          <cell r="K226">
            <v>2.5000000000000001E-2</v>
          </cell>
          <cell r="L226" t="str">
            <v>Kg</v>
          </cell>
          <cell r="M226">
            <v>70.469666666666669</v>
          </cell>
        </row>
        <row r="227">
          <cell r="H227">
            <v>216000018</v>
          </cell>
          <cell r="I227" t="str">
            <v>Banana Nanica</v>
          </cell>
          <cell r="J227">
            <v>0.17955000000000002</v>
          </cell>
          <cell r="K227">
            <v>4.4999999999999998E-2</v>
          </cell>
          <cell r="L227" t="str">
            <v>Lt</v>
          </cell>
          <cell r="M227">
            <v>3.99</v>
          </cell>
        </row>
        <row r="228">
          <cell r="H228">
            <v>211100001</v>
          </cell>
          <cell r="I228" t="str">
            <v>Cascão Tradicional Baunilha</v>
          </cell>
          <cell r="J228">
            <v>0.48024166666666668</v>
          </cell>
          <cell r="K228">
            <v>1</v>
          </cell>
          <cell r="L228" t="str">
            <v>Un</v>
          </cell>
          <cell r="M228">
            <v>0.48024166666666668</v>
          </cell>
        </row>
        <row r="229">
          <cell r="H229">
            <v>210200011</v>
          </cell>
          <cell r="I229" t="str">
            <v>Colher Grande</v>
          </cell>
          <cell r="J229">
            <v>0.18408533000000002</v>
          </cell>
          <cell r="K229">
            <v>1</v>
          </cell>
          <cell r="L229" t="str">
            <v>Un</v>
          </cell>
          <cell r="M229">
            <v>0.18408533000000002</v>
          </cell>
        </row>
        <row r="230">
          <cell r="H230">
            <v>210200037</v>
          </cell>
          <cell r="I230" t="str">
            <v>Chiquinho - Cone Protetor</v>
          </cell>
          <cell r="J230">
            <v>5.4000000000000006E-2</v>
          </cell>
          <cell r="K230">
            <v>1</v>
          </cell>
          <cell r="L230" t="str">
            <v>Un</v>
          </cell>
          <cell r="M230">
            <v>5.4000000000000006E-2</v>
          </cell>
        </row>
        <row r="231">
          <cell r="H231">
            <v>220100008</v>
          </cell>
          <cell r="I231" t="str">
            <v>Guardanapo Embalado</v>
          </cell>
          <cell r="J231">
            <v>7.1500000000000008E-2</v>
          </cell>
          <cell r="K231">
            <v>1</v>
          </cell>
          <cell r="L231" t="str">
            <v>Un</v>
          </cell>
          <cell r="M231">
            <v>7.1500000000000008E-2</v>
          </cell>
        </row>
        <row r="232">
          <cell r="H232">
            <v>216000009</v>
          </cell>
          <cell r="I232" t="str">
            <v>Canudinho Biju Wafer</v>
          </cell>
          <cell r="J232">
            <v>0.11329500000000001</v>
          </cell>
          <cell r="K232">
            <v>3.0000000000000001E-3</v>
          </cell>
          <cell r="L232" t="str">
            <v>Un</v>
          </cell>
          <cell r="M232">
            <v>37.765000000000001</v>
          </cell>
        </row>
        <row r="233">
          <cell r="B233">
            <v>100200078</v>
          </cell>
          <cell r="C233">
            <v>1002</v>
          </cell>
          <cell r="D233" t="str">
            <v>Cascao Trufado com Nutella e Morango</v>
          </cell>
          <cell r="E233">
            <v>5.0801538833333337</v>
          </cell>
          <cell r="F233">
            <v>18.273934832134291</v>
          </cell>
          <cell r="H233">
            <v>210100007</v>
          </cell>
          <cell r="I233" t="str">
            <v>Bebida Láctea Uht Sabores</v>
          </cell>
          <cell r="J233">
            <v>0.84029021999999998</v>
          </cell>
          <cell r="K233">
            <v>7.6999999999999999E-2</v>
          </cell>
          <cell r="L233" t="str">
            <v>Lt</v>
          </cell>
          <cell r="M233">
            <v>10.91286</v>
          </cell>
        </row>
        <row r="234">
          <cell r="H234">
            <v>216000050</v>
          </cell>
          <cell r="I234" t="str">
            <v>Nutella</v>
          </cell>
          <cell r="J234">
            <v>1.7617416666666668</v>
          </cell>
          <cell r="K234">
            <v>2.5000000000000001E-2</v>
          </cell>
          <cell r="L234" t="str">
            <v>Kg</v>
          </cell>
          <cell r="M234">
            <v>70.469666666666669</v>
          </cell>
        </row>
        <row r="235">
          <cell r="H235">
            <v>216000020</v>
          </cell>
          <cell r="I235" t="str">
            <v>Morango</v>
          </cell>
          <cell r="J235">
            <v>1.575</v>
          </cell>
          <cell r="K235">
            <v>4.4999999999999998E-2</v>
          </cell>
          <cell r="L235" t="str">
            <v>Lt</v>
          </cell>
          <cell r="M235">
            <v>35</v>
          </cell>
        </row>
        <row r="236">
          <cell r="H236">
            <v>211100001</v>
          </cell>
          <cell r="I236" t="str">
            <v>Cascão Tradicional Baunilha</v>
          </cell>
          <cell r="J236">
            <v>0.48024166666666668</v>
          </cell>
          <cell r="K236">
            <v>1</v>
          </cell>
          <cell r="L236" t="str">
            <v>Un</v>
          </cell>
          <cell r="M236">
            <v>0.48024166666666668</v>
          </cell>
        </row>
        <row r="237">
          <cell r="H237">
            <v>210200011</v>
          </cell>
          <cell r="I237" t="str">
            <v>Colher Grande</v>
          </cell>
          <cell r="J237">
            <v>0.18408533000000002</v>
          </cell>
          <cell r="K237">
            <v>1</v>
          </cell>
          <cell r="L237" t="str">
            <v>Un</v>
          </cell>
          <cell r="M237">
            <v>0.18408533000000002</v>
          </cell>
        </row>
        <row r="238">
          <cell r="H238">
            <v>210200037</v>
          </cell>
          <cell r="I238" t="str">
            <v>Chiquinho - Cone Protetor</v>
          </cell>
          <cell r="J238">
            <v>5.4000000000000006E-2</v>
          </cell>
          <cell r="K238">
            <v>1</v>
          </cell>
          <cell r="L238" t="str">
            <v>Un</v>
          </cell>
          <cell r="M238">
            <v>5.4000000000000006E-2</v>
          </cell>
        </row>
        <row r="239">
          <cell r="H239">
            <v>220100008</v>
          </cell>
          <cell r="I239" t="str">
            <v>Guardanapo Embalado</v>
          </cell>
          <cell r="J239">
            <v>7.1500000000000008E-2</v>
          </cell>
          <cell r="K239">
            <v>1</v>
          </cell>
          <cell r="L239" t="str">
            <v>Un</v>
          </cell>
          <cell r="M239">
            <v>7.1500000000000008E-2</v>
          </cell>
        </row>
        <row r="240">
          <cell r="H240">
            <v>216000009</v>
          </cell>
          <cell r="I240" t="str">
            <v>Canudinho Biju Wafer</v>
          </cell>
          <cell r="J240">
            <v>0.11329500000000001</v>
          </cell>
          <cell r="K240">
            <v>3.0000000000000001E-3</v>
          </cell>
          <cell r="L240" t="str">
            <v>Un</v>
          </cell>
          <cell r="M240">
            <v>37.765000000000001</v>
          </cell>
        </row>
        <row r="241">
          <cell r="B241">
            <v>100200086</v>
          </cell>
          <cell r="C241">
            <v>1032</v>
          </cell>
          <cell r="D241" t="str">
            <v>Cascão Trufado Pistache</v>
          </cell>
          <cell r="E241">
            <v>5.3293529431666684</v>
          </cell>
          <cell r="F241">
            <v>19.170334327937656</v>
          </cell>
          <cell r="H241">
            <v>210100007</v>
          </cell>
          <cell r="I241" t="str">
            <v>Bebida Láctea Uht Sabores</v>
          </cell>
          <cell r="J241">
            <v>0.8948545200000001</v>
          </cell>
          <cell r="K241">
            <v>8.2000000000000003E-2</v>
          </cell>
          <cell r="L241" t="str">
            <v>Kg</v>
          </cell>
          <cell r="M241">
            <v>10.91286</v>
          </cell>
        </row>
        <row r="242">
          <cell r="H242">
            <v>211100001</v>
          </cell>
          <cell r="I242" t="str">
            <v>Cascão Tradicional Baunilha</v>
          </cell>
          <cell r="J242">
            <v>0.48024166666666668</v>
          </cell>
          <cell r="K242">
            <v>1</v>
          </cell>
          <cell r="L242" t="str">
            <v>un</v>
          </cell>
          <cell r="M242">
            <v>0.48024166666666668</v>
          </cell>
        </row>
        <row r="243">
          <cell r="H243">
            <v>216000068</v>
          </cell>
          <cell r="I243" t="str">
            <v>Crempistache</v>
          </cell>
          <cell r="J243">
            <v>3.6179000000000006</v>
          </cell>
          <cell r="K243">
            <v>2.5000000000000001E-2</v>
          </cell>
          <cell r="L243" t="str">
            <v>Kg</v>
          </cell>
          <cell r="M243">
            <v>144.71600000000001</v>
          </cell>
        </row>
        <row r="244">
          <cell r="H244">
            <v>216000009</v>
          </cell>
          <cell r="I244" t="str">
            <v>Canudinho Biju Wafer</v>
          </cell>
          <cell r="J244">
            <v>0.11329500000000001</v>
          </cell>
          <cell r="K244">
            <v>3.0000000000000001E-3</v>
          </cell>
          <cell r="L244" t="str">
            <v>Kg</v>
          </cell>
          <cell r="M244">
            <v>37.765000000000001</v>
          </cell>
        </row>
        <row r="245">
          <cell r="H245">
            <v>210200037</v>
          </cell>
          <cell r="I245" t="str">
            <v>Chiquinho - Cone Protetor</v>
          </cell>
          <cell r="J245">
            <v>5.4000000000000006E-2</v>
          </cell>
          <cell r="K245">
            <v>1</v>
          </cell>
          <cell r="L245" t="str">
            <v>Un</v>
          </cell>
          <cell r="M245">
            <v>5.4000000000000006E-2</v>
          </cell>
        </row>
        <row r="246">
          <cell r="H246">
            <v>220100008</v>
          </cell>
          <cell r="I246" t="str">
            <v>Guardanapo Embalado</v>
          </cell>
          <cell r="J246">
            <v>7.1500000000000008E-2</v>
          </cell>
          <cell r="K246">
            <v>1</v>
          </cell>
          <cell r="L246" t="str">
            <v>Un</v>
          </cell>
          <cell r="M246">
            <v>7.1500000000000008E-2</v>
          </cell>
        </row>
        <row r="247">
          <cell r="H247">
            <v>210200012</v>
          </cell>
          <cell r="I247" t="str">
            <v>Colher Pequena</v>
          </cell>
          <cell r="J247">
            <v>9.7561756500000013E-2</v>
          </cell>
          <cell r="K247">
            <v>1</v>
          </cell>
          <cell r="L247" t="str">
            <v>Un</v>
          </cell>
          <cell r="M247">
            <v>9.7561756500000013E-2</v>
          </cell>
        </row>
        <row r="248">
          <cell r="B248">
            <v>100100013</v>
          </cell>
          <cell r="C248">
            <v>1001</v>
          </cell>
          <cell r="D248" t="str">
            <v>Casquinha Tradicional</v>
          </cell>
          <cell r="E248">
            <v>1.3773019765000003</v>
          </cell>
          <cell r="F248">
            <v>4.9543236564748208</v>
          </cell>
          <cell r="H248">
            <v>210100007</v>
          </cell>
          <cell r="I248" t="str">
            <v>Bebida Láctea Uht Sabores</v>
          </cell>
          <cell r="J248">
            <v>0.84029021999999998</v>
          </cell>
          <cell r="K248">
            <v>7.6999999999999999E-2</v>
          </cell>
          <cell r="L248" t="str">
            <v>Lt</v>
          </cell>
          <cell r="M248">
            <v>10.91286</v>
          </cell>
        </row>
        <row r="249">
          <cell r="H249">
            <v>211100002</v>
          </cell>
          <cell r="I249" t="str">
            <v>Casquinha Biscoito Doce Baunilha</v>
          </cell>
          <cell r="J249">
            <v>0.31395000000000006</v>
          </cell>
          <cell r="K249">
            <v>1</v>
          </cell>
          <cell r="L249" t="str">
            <v>Un</v>
          </cell>
          <cell r="M249">
            <v>0.31395000000000006</v>
          </cell>
        </row>
        <row r="250">
          <cell r="H250">
            <v>210200037</v>
          </cell>
          <cell r="I250" t="str">
            <v>Chiquinho - Cone Protetor</v>
          </cell>
          <cell r="J250">
            <v>5.4000000000000006E-2</v>
          </cell>
          <cell r="K250">
            <v>1</v>
          </cell>
          <cell r="L250" t="str">
            <v>Un</v>
          </cell>
          <cell r="M250">
            <v>5.4000000000000006E-2</v>
          </cell>
        </row>
        <row r="251">
          <cell r="H251">
            <v>220100008</v>
          </cell>
          <cell r="I251" t="str">
            <v>Guardanapo Embalado</v>
          </cell>
          <cell r="J251">
            <v>7.1500000000000008E-2</v>
          </cell>
          <cell r="K251">
            <v>1</v>
          </cell>
          <cell r="L251" t="str">
            <v>Un</v>
          </cell>
          <cell r="M251">
            <v>7.1500000000000008E-2</v>
          </cell>
        </row>
        <row r="252">
          <cell r="H252">
            <v>210200012</v>
          </cell>
          <cell r="I252" t="str">
            <v>Colher Pequena</v>
          </cell>
          <cell r="J252">
            <v>9.7561756500000013E-2</v>
          </cell>
          <cell r="K252">
            <v>1</v>
          </cell>
          <cell r="L252" t="str">
            <v>Un</v>
          </cell>
          <cell r="M252">
            <v>9.7561756500000013E-2</v>
          </cell>
        </row>
        <row r="253">
          <cell r="B253">
            <v>100100007</v>
          </cell>
          <cell r="C253">
            <v>1001</v>
          </cell>
          <cell r="D253" t="str">
            <v>Casquinha Recheada</v>
          </cell>
          <cell r="E253">
            <v>1.5932222265000002</v>
          </cell>
          <cell r="F253">
            <v>5.7310152032374102</v>
          </cell>
          <cell r="H253">
            <v>210100007</v>
          </cell>
          <cell r="I253" t="str">
            <v>Bebida Láctea Uht Sabores</v>
          </cell>
          <cell r="J253">
            <v>0.84029021999999998</v>
          </cell>
          <cell r="K253">
            <v>7.6999999999999999E-2</v>
          </cell>
          <cell r="L253" t="str">
            <v>Lt</v>
          </cell>
          <cell r="M253">
            <v>10.91286</v>
          </cell>
        </row>
        <row r="254">
          <cell r="H254">
            <v>210900005</v>
          </cell>
          <cell r="I254" t="str">
            <v>Stracciatella Meio Amarga</v>
          </cell>
          <cell r="J254">
            <v>0.21592025000000001</v>
          </cell>
          <cell r="K254">
            <v>7.0000000000000001E-3</v>
          </cell>
          <cell r="L254" t="str">
            <v>Kg</v>
          </cell>
          <cell r="M254">
            <v>30.845749999999999</v>
          </cell>
        </row>
        <row r="255">
          <cell r="H255">
            <v>211100002</v>
          </cell>
          <cell r="I255" t="str">
            <v>Casquinha Biscoito Doce Baunilha</v>
          </cell>
          <cell r="J255">
            <v>0.31395000000000006</v>
          </cell>
          <cell r="K255">
            <v>1</v>
          </cell>
          <cell r="L255" t="str">
            <v>Un</v>
          </cell>
          <cell r="M255">
            <v>0.31395000000000006</v>
          </cell>
        </row>
        <row r="256">
          <cell r="H256">
            <v>210200037</v>
          </cell>
          <cell r="I256" t="str">
            <v>Chiquinho - Cone Protetor</v>
          </cell>
          <cell r="J256">
            <v>5.4000000000000006E-2</v>
          </cell>
          <cell r="K256">
            <v>1</v>
          </cell>
          <cell r="L256" t="str">
            <v>Un</v>
          </cell>
          <cell r="M256">
            <v>5.4000000000000006E-2</v>
          </cell>
        </row>
        <row r="257">
          <cell r="H257">
            <v>220100008</v>
          </cell>
          <cell r="I257" t="str">
            <v>Guardanapo Embalado</v>
          </cell>
          <cell r="J257">
            <v>7.1500000000000008E-2</v>
          </cell>
          <cell r="K257">
            <v>1</v>
          </cell>
          <cell r="L257" t="str">
            <v>Un</v>
          </cell>
          <cell r="M257">
            <v>7.1500000000000008E-2</v>
          </cell>
        </row>
        <row r="258">
          <cell r="H258">
            <v>210200012</v>
          </cell>
          <cell r="I258" t="str">
            <v>Colher Pequena</v>
          </cell>
          <cell r="J258">
            <v>9.7561756500000013E-2</v>
          </cell>
          <cell r="K258">
            <v>1</v>
          </cell>
          <cell r="L258" t="str">
            <v>Un</v>
          </cell>
          <cell r="M258">
            <v>9.7561756500000013E-2</v>
          </cell>
        </row>
        <row r="259">
          <cell r="B259">
            <v>100100004</v>
          </cell>
          <cell r="C259">
            <v>1001</v>
          </cell>
          <cell r="D259" t="str">
            <v>Casquinha Calda Quente</v>
          </cell>
          <cell r="E259">
            <v>1.5804165365</v>
          </cell>
          <cell r="F259">
            <v>5.6849515701438849</v>
          </cell>
          <cell r="H259">
            <v>210100007</v>
          </cell>
          <cell r="I259" t="str">
            <v>Bebida Láctea Uht Sabores</v>
          </cell>
          <cell r="J259">
            <v>0.79663877999999999</v>
          </cell>
          <cell r="K259">
            <v>7.2999999999999995E-2</v>
          </cell>
          <cell r="L259" t="str">
            <v>Lt</v>
          </cell>
          <cell r="M259">
            <v>10.91286</v>
          </cell>
        </row>
        <row r="260">
          <cell r="H260">
            <v>211100002</v>
          </cell>
          <cell r="I260" t="str">
            <v>Casquinha Biscoito Doce Baunilha</v>
          </cell>
          <cell r="J260">
            <v>0.31395000000000006</v>
          </cell>
          <cell r="K260">
            <v>1</v>
          </cell>
          <cell r="L260" t="str">
            <v>Un</v>
          </cell>
          <cell r="M260">
            <v>0.31395000000000006</v>
          </cell>
        </row>
        <row r="261">
          <cell r="H261">
            <v>210200012</v>
          </cell>
          <cell r="I261" t="str">
            <v>Colher Pequena</v>
          </cell>
          <cell r="J261">
            <v>9.7561756500000013E-2</v>
          </cell>
          <cell r="K261">
            <v>1</v>
          </cell>
          <cell r="L261" t="str">
            <v>Un</v>
          </cell>
          <cell r="M261">
            <v>9.7561756500000013E-2</v>
          </cell>
        </row>
        <row r="262">
          <cell r="H262">
            <v>210200037</v>
          </cell>
          <cell r="I262" t="str">
            <v>Chiquinho - Cone Protetor</v>
          </cell>
          <cell r="J262">
            <v>5.4000000000000006E-2</v>
          </cell>
          <cell r="K262">
            <v>1</v>
          </cell>
          <cell r="L262" t="str">
            <v>Un</v>
          </cell>
          <cell r="M262">
            <v>5.4000000000000006E-2</v>
          </cell>
        </row>
        <row r="263">
          <cell r="H263">
            <v>220100008</v>
          </cell>
          <cell r="I263" t="str">
            <v>Guardanapo Embalado</v>
          </cell>
          <cell r="J263">
            <v>7.1500000000000008E-2</v>
          </cell>
          <cell r="K263">
            <v>1</v>
          </cell>
          <cell r="L263" t="str">
            <v>Un</v>
          </cell>
          <cell r="M263">
            <v>7.1500000000000008E-2</v>
          </cell>
        </row>
        <row r="264">
          <cell r="H264">
            <v>210900005</v>
          </cell>
          <cell r="I264" t="str">
            <v>Stracciatella Meio Amarga</v>
          </cell>
          <cell r="J264">
            <v>0.24676599999999999</v>
          </cell>
          <cell r="K264">
            <v>8.0000000000000002E-3</v>
          </cell>
          <cell r="L264" t="str">
            <v>Kg</v>
          </cell>
          <cell r="M264">
            <v>30.845749999999999</v>
          </cell>
        </row>
        <row r="265">
          <cell r="B265">
            <v>100100016</v>
          </cell>
          <cell r="C265">
            <v>1001</v>
          </cell>
          <cell r="D265" t="str">
            <v>Casquinha Trufada Amendoim</v>
          </cell>
          <cell r="E265">
            <v>2.0581505479285718</v>
          </cell>
          <cell r="F265">
            <v>7.4034192371531349</v>
          </cell>
          <cell r="H265">
            <v>210100007</v>
          </cell>
          <cell r="I265" t="str">
            <v>Bebida Láctea Uht Sabores</v>
          </cell>
          <cell r="J265">
            <v>0.84029021999999998</v>
          </cell>
          <cell r="K265">
            <v>7.6999999999999999E-2</v>
          </cell>
          <cell r="L265" t="str">
            <v>Lt</v>
          </cell>
          <cell r="M265">
            <v>10.91286</v>
          </cell>
        </row>
        <row r="266">
          <cell r="H266">
            <v>210900018</v>
          </cell>
          <cell r="I266" t="str">
            <v>Trufada Chiquinho</v>
          </cell>
          <cell r="J266">
            <v>0.5794285714285714</v>
          </cell>
          <cell r="K266">
            <v>1.2999999999999999E-2</v>
          </cell>
          <cell r="L266" t="str">
            <v>Kg</v>
          </cell>
          <cell r="M266">
            <v>44.571428571428569</v>
          </cell>
        </row>
        <row r="267">
          <cell r="H267">
            <v>216000002</v>
          </cell>
          <cell r="I267" t="str">
            <v>Amendoim Triturado</v>
          </cell>
          <cell r="J267">
            <v>0.10142000000000001</v>
          </cell>
          <cell r="K267">
            <v>4.0000000000000001E-3</v>
          </cell>
          <cell r="L267" t="str">
            <v>Kg</v>
          </cell>
          <cell r="M267">
            <v>25.355</v>
          </cell>
        </row>
        <row r="268">
          <cell r="H268">
            <v>211100002</v>
          </cell>
          <cell r="I268" t="str">
            <v>Casquinha Biscoito Doce Baunilha</v>
          </cell>
          <cell r="J268">
            <v>0.31395000000000006</v>
          </cell>
          <cell r="K268">
            <v>1</v>
          </cell>
          <cell r="L268" t="str">
            <v>Un</v>
          </cell>
          <cell r="M268">
            <v>0.31395000000000006</v>
          </cell>
        </row>
        <row r="269">
          <cell r="H269">
            <v>210200037</v>
          </cell>
          <cell r="I269" t="str">
            <v>Chiquinho - Cone Protetor</v>
          </cell>
          <cell r="J269">
            <v>5.4000000000000006E-2</v>
          </cell>
          <cell r="K269">
            <v>1</v>
          </cell>
          <cell r="L269" t="str">
            <v>Un</v>
          </cell>
          <cell r="M269">
            <v>5.4000000000000006E-2</v>
          </cell>
        </row>
        <row r="270">
          <cell r="H270">
            <v>220100008</v>
          </cell>
          <cell r="I270" t="str">
            <v>Guardanapo Embalado</v>
          </cell>
          <cell r="J270">
            <v>7.1500000000000008E-2</v>
          </cell>
          <cell r="K270">
            <v>1</v>
          </cell>
          <cell r="L270" t="str">
            <v>Un</v>
          </cell>
          <cell r="M270">
            <v>7.1500000000000008E-2</v>
          </cell>
        </row>
        <row r="271">
          <cell r="H271">
            <v>210200012</v>
          </cell>
          <cell r="I271" t="str">
            <v>Colher Pequena</v>
          </cell>
          <cell r="J271">
            <v>9.7561756500000013E-2</v>
          </cell>
          <cell r="K271">
            <v>1</v>
          </cell>
          <cell r="L271" t="str">
            <v>Un</v>
          </cell>
          <cell r="M271">
            <v>9.7561756500000013E-2</v>
          </cell>
        </row>
        <row r="272">
          <cell r="B272">
            <v>100100019</v>
          </cell>
          <cell r="C272">
            <v>1001</v>
          </cell>
          <cell r="D272" t="str">
            <v>Casquinha Trufada Brigadeiro</v>
          </cell>
          <cell r="E272">
            <v>2.0416810429780763</v>
          </cell>
          <cell r="F272">
            <v>7.3441764135902021</v>
          </cell>
          <cell r="H272">
            <v>210100007</v>
          </cell>
          <cell r="I272" t="str">
            <v>Bebida Láctea Uht Sabores</v>
          </cell>
          <cell r="J272">
            <v>0.84029021999999998</v>
          </cell>
          <cell r="K272">
            <v>7.6999999999999999E-2</v>
          </cell>
          <cell r="L272" t="str">
            <v>Lt</v>
          </cell>
          <cell r="M272">
            <v>10.91286</v>
          </cell>
        </row>
        <row r="273">
          <cell r="H273">
            <v>210900018</v>
          </cell>
          <cell r="I273" t="str">
            <v>Trufada Chiquinho</v>
          </cell>
          <cell r="J273">
            <v>0.5794285714285714</v>
          </cell>
          <cell r="K273">
            <v>1.2999999999999999E-2</v>
          </cell>
          <cell r="L273" t="str">
            <v>Kg</v>
          </cell>
          <cell r="M273">
            <v>44.571428571428569</v>
          </cell>
        </row>
        <row r="274">
          <cell r="H274">
            <v>211100002</v>
          </cell>
          <cell r="I274" t="str">
            <v>Casquinha Biscoito Doce Baunilha</v>
          </cell>
          <cell r="J274">
            <v>0.31395000000000006</v>
          </cell>
          <cell r="K274">
            <v>1</v>
          </cell>
          <cell r="L274" t="str">
            <v>Un</v>
          </cell>
          <cell r="M274">
            <v>0.31395000000000006</v>
          </cell>
        </row>
        <row r="275">
          <cell r="H275">
            <v>210200012</v>
          </cell>
          <cell r="I275" t="str">
            <v>Colher Pequena</v>
          </cell>
          <cell r="J275">
            <v>9.7561756500000013E-2</v>
          </cell>
          <cell r="K275">
            <v>1</v>
          </cell>
          <cell r="L275" t="str">
            <v>Un</v>
          </cell>
          <cell r="M275">
            <v>9.7561756500000013E-2</v>
          </cell>
        </row>
        <row r="276">
          <cell r="H276">
            <v>210200037</v>
          </cell>
          <cell r="I276" t="str">
            <v>Chiquinho - Cone Protetor</v>
          </cell>
          <cell r="J276">
            <v>5.4000000000000006E-2</v>
          </cell>
          <cell r="K276">
            <v>1</v>
          </cell>
          <cell r="L276" t="str">
            <v>Un</v>
          </cell>
          <cell r="M276">
            <v>5.4000000000000006E-2</v>
          </cell>
        </row>
        <row r="277">
          <cell r="H277">
            <v>220100008</v>
          </cell>
          <cell r="I277" t="str">
            <v>Guardanapo Embalado</v>
          </cell>
          <cell r="J277">
            <v>7.1500000000000008E-2</v>
          </cell>
          <cell r="K277">
            <v>1</v>
          </cell>
          <cell r="L277" t="str">
            <v>Un</v>
          </cell>
          <cell r="M277">
            <v>7.1500000000000008E-2</v>
          </cell>
        </row>
        <row r="278">
          <cell r="H278">
            <v>210900009</v>
          </cell>
          <cell r="I278" t="str">
            <v>Chocolate Granulado</v>
          </cell>
          <cell r="J278">
            <v>8.4950495049504957E-2</v>
          </cell>
          <cell r="K278">
            <v>4.0000000000000001E-3</v>
          </cell>
          <cell r="L278" t="str">
            <v>Kg</v>
          </cell>
          <cell r="M278">
            <v>21.237623762376238</v>
          </cell>
        </row>
        <row r="279">
          <cell r="B279">
            <v>100100028</v>
          </cell>
          <cell r="C279">
            <v>1001</v>
          </cell>
          <cell r="D279" t="str">
            <v>Casquinha Trufada Tradicional</v>
          </cell>
          <cell r="E279">
            <v>1.9567305479285715</v>
          </cell>
          <cell r="F279">
            <v>7.0385990932682425</v>
          </cell>
          <cell r="H279">
            <v>210100007</v>
          </cell>
          <cell r="I279" t="str">
            <v>Bebida Láctea Uht Sabores</v>
          </cell>
          <cell r="J279">
            <v>0.84029021999999998</v>
          </cell>
          <cell r="K279">
            <v>7.6999999999999999E-2</v>
          </cell>
          <cell r="L279" t="str">
            <v>Lt</v>
          </cell>
          <cell r="M279">
            <v>10.91286</v>
          </cell>
        </row>
        <row r="280">
          <cell r="H280">
            <v>210900018</v>
          </cell>
          <cell r="I280" t="str">
            <v>Trufada Chiquinho</v>
          </cell>
          <cell r="J280">
            <v>0.5794285714285714</v>
          </cell>
          <cell r="K280">
            <v>1.2999999999999999E-2</v>
          </cell>
          <cell r="L280" t="str">
            <v>Kg</v>
          </cell>
          <cell r="M280">
            <v>44.571428571428569</v>
          </cell>
        </row>
        <row r="281">
          <cell r="H281">
            <v>211100002</v>
          </cell>
          <cell r="I281" t="str">
            <v>Casquinha Biscoito Doce Baunilha</v>
          </cell>
          <cell r="J281">
            <v>0.31395000000000006</v>
          </cell>
          <cell r="K281">
            <v>1</v>
          </cell>
          <cell r="L281" t="str">
            <v>Un</v>
          </cell>
          <cell r="M281">
            <v>0.31395000000000006</v>
          </cell>
        </row>
        <row r="282">
          <cell r="H282">
            <v>210200037</v>
          </cell>
          <cell r="I282" t="str">
            <v>Chiquinho - Cone Protetor</v>
          </cell>
          <cell r="J282">
            <v>5.4000000000000006E-2</v>
          </cell>
          <cell r="K282">
            <v>1</v>
          </cell>
          <cell r="L282" t="str">
            <v>Un</v>
          </cell>
          <cell r="M282">
            <v>5.4000000000000006E-2</v>
          </cell>
        </row>
        <row r="283">
          <cell r="H283">
            <v>220100008</v>
          </cell>
          <cell r="I283" t="str">
            <v>Guardanapo Embalado</v>
          </cell>
          <cell r="J283">
            <v>7.1500000000000008E-2</v>
          </cell>
          <cell r="K283">
            <v>1</v>
          </cell>
          <cell r="L283" t="str">
            <v>Un</v>
          </cell>
          <cell r="M283">
            <v>7.1500000000000008E-2</v>
          </cell>
        </row>
        <row r="284">
          <cell r="H284">
            <v>210200012</v>
          </cell>
          <cell r="I284" t="str">
            <v>Colher Pequena</v>
          </cell>
          <cell r="J284">
            <v>9.7561756500000013E-2</v>
          </cell>
          <cell r="K284">
            <v>1</v>
          </cell>
          <cell r="L284" t="str">
            <v>Un</v>
          </cell>
          <cell r="M284">
            <v>9.7561756500000013E-2</v>
          </cell>
        </row>
        <row r="285">
          <cell r="B285">
            <v>100100038</v>
          </cell>
          <cell r="C285">
            <v>1001</v>
          </cell>
          <cell r="D285" t="str">
            <v>Casquinha Trufada c/ Nutella</v>
          </cell>
          <cell r="E285">
            <v>2.6457559765000003</v>
          </cell>
          <cell r="F285">
            <v>9.5171078291366911</v>
          </cell>
          <cell r="H285">
            <v>210100007</v>
          </cell>
          <cell r="I285" t="str">
            <v>Bebida Láctea UHT Sabores</v>
          </cell>
          <cell r="J285">
            <v>0.84029021999999998</v>
          </cell>
          <cell r="K285">
            <v>7.6999999999999999E-2</v>
          </cell>
          <cell r="L285" t="str">
            <v>Lt</v>
          </cell>
          <cell r="M285">
            <v>10.91286</v>
          </cell>
        </row>
        <row r="286">
          <cell r="H286">
            <v>211100002</v>
          </cell>
          <cell r="I286" t="str">
            <v>Casquinha Biscoito Doce Baunilha</v>
          </cell>
          <cell r="J286">
            <v>0.31395000000000006</v>
          </cell>
          <cell r="K286">
            <v>1</v>
          </cell>
          <cell r="L286" t="str">
            <v>Un</v>
          </cell>
          <cell r="M286">
            <v>0.31395000000000006</v>
          </cell>
        </row>
        <row r="287">
          <cell r="H287">
            <v>216000050</v>
          </cell>
          <cell r="I287" t="str">
            <v>Nutella</v>
          </cell>
          <cell r="J287">
            <v>1.268454</v>
          </cell>
          <cell r="K287">
            <v>1.7999999999999999E-2</v>
          </cell>
          <cell r="L287" t="str">
            <v>kg</v>
          </cell>
          <cell r="M287">
            <v>70.469666666666669</v>
          </cell>
        </row>
        <row r="288">
          <cell r="H288">
            <v>210200012</v>
          </cell>
          <cell r="I288" t="str">
            <v>Colher Pequena</v>
          </cell>
          <cell r="J288">
            <v>9.7561756500000013E-2</v>
          </cell>
          <cell r="K288">
            <v>1</v>
          </cell>
          <cell r="L288" t="str">
            <v>Un</v>
          </cell>
          <cell r="M288">
            <v>9.7561756500000013E-2</v>
          </cell>
        </row>
        <row r="289">
          <cell r="H289">
            <v>220100008</v>
          </cell>
          <cell r="I289" t="str">
            <v>Guardanapo Embalado</v>
          </cell>
          <cell r="J289">
            <v>7.1500000000000008E-2</v>
          </cell>
          <cell r="K289">
            <v>1</v>
          </cell>
          <cell r="L289" t="str">
            <v>Un</v>
          </cell>
          <cell r="M289">
            <v>7.1500000000000008E-2</v>
          </cell>
        </row>
        <row r="290">
          <cell r="H290">
            <v>210200037</v>
          </cell>
          <cell r="I290" t="str">
            <v>Chiquinho - Cone Protetor</v>
          </cell>
          <cell r="J290">
            <v>5.4000000000000006E-2</v>
          </cell>
          <cell r="K290">
            <v>1</v>
          </cell>
          <cell r="L290" t="str">
            <v>Un</v>
          </cell>
          <cell r="M290">
            <v>5.4000000000000006E-2</v>
          </cell>
        </row>
        <row r="291">
          <cell r="B291">
            <v>100100041</v>
          </cell>
          <cell r="C291">
            <v>1001</v>
          </cell>
          <cell r="D291" t="str">
            <v>Casquinha Trufada c/ Nutella e borda de brigadeiro</v>
          </cell>
          <cell r="E291">
            <v>2.7307064715495053</v>
          </cell>
          <cell r="F291">
            <v>9.8226851494586516</v>
          </cell>
          <cell r="H291">
            <v>210100007</v>
          </cell>
          <cell r="I291" t="str">
            <v>Bebida Láctea UHT Sabores</v>
          </cell>
          <cell r="J291">
            <v>0.84029021999999998</v>
          </cell>
          <cell r="K291">
            <v>7.6999999999999999E-2</v>
          </cell>
          <cell r="L291" t="str">
            <v>Lt</v>
          </cell>
          <cell r="M291">
            <v>10.91286</v>
          </cell>
        </row>
        <row r="292">
          <cell r="H292">
            <v>211100002</v>
          </cell>
          <cell r="I292" t="str">
            <v>Casquinha Biscoito Doce Baunilha</v>
          </cell>
          <cell r="J292">
            <v>0.31395000000000006</v>
          </cell>
          <cell r="K292">
            <v>1</v>
          </cell>
          <cell r="L292" t="str">
            <v>Un</v>
          </cell>
          <cell r="M292">
            <v>0.31395000000000006</v>
          </cell>
        </row>
        <row r="293">
          <cell r="H293">
            <v>216000050</v>
          </cell>
          <cell r="I293" t="str">
            <v>Nutella</v>
          </cell>
          <cell r="J293">
            <v>1.268454</v>
          </cell>
          <cell r="K293">
            <v>1.7999999999999999E-2</v>
          </cell>
          <cell r="L293" t="str">
            <v>kg</v>
          </cell>
          <cell r="M293">
            <v>70.469666666666669</v>
          </cell>
        </row>
        <row r="294">
          <cell r="H294">
            <v>210200012</v>
          </cell>
          <cell r="I294" t="str">
            <v>Colher Pequena</v>
          </cell>
          <cell r="J294">
            <v>9.7561756500000013E-2</v>
          </cell>
          <cell r="K294">
            <v>1</v>
          </cell>
          <cell r="L294" t="str">
            <v>Un</v>
          </cell>
          <cell r="M294">
            <v>9.7561756500000013E-2</v>
          </cell>
        </row>
        <row r="295">
          <cell r="H295">
            <v>210200037</v>
          </cell>
          <cell r="I295" t="str">
            <v>Chiquinho - Cone Protetor</v>
          </cell>
          <cell r="J295">
            <v>5.4000000000000006E-2</v>
          </cell>
          <cell r="K295">
            <v>1</v>
          </cell>
          <cell r="L295" t="str">
            <v>Un</v>
          </cell>
          <cell r="M295">
            <v>5.4000000000000006E-2</v>
          </cell>
        </row>
        <row r="296">
          <cell r="H296">
            <v>220100008</v>
          </cell>
          <cell r="I296" t="str">
            <v>Guardanapo Embalado</v>
          </cell>
          <cell r="J296">
            <v>7.1500000000000008E-2</v>
          </cell>
          <cell r="K296">
            <v>1</v>
          </cell>
          <cell r="L296" t="str">
            <v>Un</v>
          </cell>
          <cell r="M296">
            <v>7.1500000000000008E-2</v>
          </cell>
        </row>
        <row r="297">
          <cell r="H297">
            <v>210900009</v>
          </cell>
          <cell r="I297" t="str">
            <v>Chocolate Granulado</v>
          </cell>
          <cell r="J297">
            <v>8.4950495049504957E-2</v>
          </cell>
          <cell r="K297">
            <v>4.0000000000000001E-3</v>
          </cell>
          <cell r="L297" t="str">
            <v>Kg</v>
          </cell>
          <cell r="M297">
            <v>21.237623762376238</v>
          </cell>
        </row>
        <row r="298">
          <cell r="B298">
            <v>100100044</v>
          </cell>
          <cell r="C298">
            <v>1001</v>
          </cell>
          <cell r="D298" t="str">
            <v>Casquinha Trufada c/ Nutella e borda de Amendoim</v>
          </cell>
          <cell r="E298">
            <v>2.7471759765000003</v>
          </cell>
          <cell r="F298">
            <v>9.8819279730215825</v>
          </cell>
          <cell r="H298">
            <v>210100007</v>
          </cell>
          <cell r="I298" t="str">
            <v>Bebida Láctea UHT Sabores</v>
          </cell>
          <cell r="J298">
            <v>0.84029021999999998</v>
          </cell>
          <cell r="K298">
            <v>7.6999999999999999E-2</v>
          </cell>
          <cell r="L298" t="str">
            <v>Lt</v>
          </cell>
          <cell r="M298">
            <v>10.91286</v>
          </cell>
        </row>
        <row r="299">
          <cell r="H299">
            <v>211100002</v>
          </cell>
          <cell r="I299" t="str">
            <v>Casquinha Biscoito Doce Baunilha</v>
          </cell>
          <cell r="J299">
            <v>0.31395000000000006</v>
          </cell>
          <cell r="K299">
            <v>1</v>
          </cell>
          <cell r="L299" t="str">
            <v>Un</v>
          </cell>
          <cell r="M299">
            <v>0.31395000000000006</v>
          </cell>
        </row>
        <row r="300">
          <cell r="H300">
            <v>216000050</v>
          </cell>
          <cell r="I300" t="str">
            <v>Nutella</v>
          </cell>
          <cell r="J300">
            <v>1.268454</v>
          </cell>
          <cell r="K300">
            <v>1.7999999999999999E-2</v>
          </cell>
          <cell r="L300" t="str">
            <v>kg</v>
          </cell>
          <cell r="M300">
            <v>70.469666666666669</v>
          </cell>
        </row>
        <row r="301">
          <cell r="H301">
            <v>210200012</v>
          </cell>
          <cell r="I301" t="str">
            <v>Colher Pequena</v>
          </cell>
          <cell r="J301">
            <v>9.7561756500000013E-2</v>
          </cell>
          <cell r="K301">
            <v>1</v>
          </cell>
          <cell r="L301" t="str">
            <v>Un</v>
          </cell>
          <cell r="M301">
            <v>9.7561756500000013E-2</v>
          </cell>
        </row>
        <row r="302">
          <cell r="H302">
            <v>210200037</v>
          </cell>
          <cell r="I302" t="str">
            <v>Chiquinho - Cone Protetor</v>
          </cell>
          <cell r="J302">
            <v>5.4000000000000006E-2</v>
          </cell>
          <cell r="K302">
            <v>1</v>
          </cell>
          <cell r="L302" t="str">
            <v>Un</v>
          </cell>
          <cell r="M302">
            <v>5.4000000000000006E-2</v>
          </cell>
        </row>
        <row r="303">
          <cell r="H303">
            <v>220100008</v>
          </cell>
          <cell r="I303" t="str">
            <v>Guardanapo Embalado</v>
          </cell>
          <cell r="J303">
            <v>7.1500000000000008E-2</v>
          </cell>
          <cell r="K303">
            <v>1</v>
          </cell>
          <cell r="L303" t="str">
            <v>Un</v>
          </cell>
          <cell r="M303">
            <v>7.1500000000000008E-2</v>
          </cell>
        </row>
        <row r="304">
          <cell r="H304">
            <v>216000002</v>
          </cell>
          <cell r="I304" t="str">
            <v>Amendoim Triturado</v>
          </cell>
          <cell r="J304">
            <v>0.10142000000000001</v>
          </cell>
          <cell r="K304">
            <v>4.0000000000000001E-3</v>
          </cell>
          <cell r="L304" t="str">
            <v>Kg</v>
          </cell>
          <cell r="M304">
            <v>25.355</v>
          </cell>
        </row>
        <row r="305">
          <cell r="B305">
            <v>100100047</v>
          </cell>
          <cell r="C305">
            <v>1001</v>
          </cell>
          <cell r="D305" t="str">
            <v>Casquinha Trufada c/ Doce de Leite</v>
          </cell>
          <cell r="E305">
            <v>1.7044488515000003</v>
          </cell>
          <cell r="F305">
            <v>6.1311109766187055</v>
          </cell>
          <cell r="H305">
            <v>210100007</v>
          </cell>
          <cell r="I305" t="str">
            <v>Bebida Láctea UHT Sabores</v>
          </cell>
          <cell r="J305">
            <v>0.84029021999999998</v>
          </cell>
          <cell r="K305">
            <v>7.6999999999999999E-2</v>
          </cell>
          <cell r="L305" t="str">
            <v>Lt</v>
          </cell>
          <cell r="M305">
            <v>10.91286</v>
          </cell>
        </row>
        <row r="306">
          <cell r="H306">
            <v>211100002</v>
          </cell>
          <cell r="I306" t="str">
            <v>Casquinha Biscoito Doce Baunilha</v>
          </cell>
          <cell r="J306">
            <v>0.31395000000000006</v>
          </cell>
          <cell r="K306">
            <v>1</v>
          </cell>
          <cell r="L306" t="str">
            <v>Kg</v>
          </cell>
          <cell r="M306">
            <v>0.31395000000000006</v>
          </cell>
        </row>
        <row r="307">
          <cell r="H307">
            <v>216000015</v>
          </cell>
          <cell r="I307" t="str">
            <v>Doce de Leite</v>
          </cell>
          <cell r="J307">
            <v>0.327146875</v>
          </cell>
          <cell r="K307">
            <v>1.4999999999999999E-2</v>
          </cell>
          <cell r="L307" t="str">
            <v>kg</v>
          </cell>
          <cell r="M307">
            <v>21.809791666666669</v>
          </cell>
        </row>
        <row r="308">
          <cell r="H308">
            <v>210200012</v>
          </cell>
          <cell r="I308" t="str">
            <v>Colher Pequena</v>
          </cell>
          <cell r="J308">
            <v>9.7561756500000013E-2</v>
          </cell>
          <cell r="K308">
            <v>1</v>
          </cell>
          <cell r="L308" t="str">
            <v>Un</v>
          </cell>
          <cell r="M308">
            <v>9.7561756500000013E-2</v>
          </cell>
        </row>
        <row r="309">
          <cell r="H309">
            <v>220100008</v>
          </cell>
          <cell r="I309" t="str">
            <v>Guardanapo Embalado</v>
          </cell>
          <cell r="J309">
            <v>7.1500000000000008E-2</v>
          </cell>
          <cell r="K309">
            <v>1</v>
          </cell>
          <cell r="L309" t="str">
            <v>Un</v>
          </cell>
          <cell r="M309">
            <v>7.1500000000000008E-2</v>
          </cell>
        </row>
        <row r="310">
          <cell r="H310">
            <v>210200037</v>
          </cell>
          <cell r="I310" t="str">
            <v>Chiquinho - Cone Protetor</v>
          </cell>
          <cell r="J310">
            <v>5.4000000000000006E-2</v>
          </cell>
          <cell r="K310">
            <v>1</v>
          </cell>
          <cell r="L310" t="str">
            <v>Un</v>
          </cell>
          <cell r="M310">
            <v>5.4000000000000006E-2</v>
          </cell>
        </row>
        <row r="311">
          <cell r="B311">
            <v>100100050</v>
          </cell>
          <cell r="C311">
            <v>1001</v>
          </cell>
          <cell r="D311" t="str">
            <v>Casquinha Trufada c/ Doce de leite e borda de brigadeiro</v>
          </cell>
          <cell r="E311">
            <v>1.7893993465495051</v>
          </cell>
          <cell r="F311">
            <v>6.4366882969406651</v>
          </cell>
          <cell r="H311">
            <v>210100007</v>
          </cell>
          <cell r="I311" t="str">
            <v>Bebida Láctea UHT Sabores</v>
          </cell>
          <cell r="J311">
            <v>0.84029021999999998</v>
          </cell>
          <cell r="K311">
            <v>7.6999999999999999E-2</v>
          </cell>
          <cell r="L311" t="str">
            <v>Lt</v>
          </cell>
          <cell r="M311">
            <v>10.91286</v>
          </cell>
        </row>
        <row r="312">
          <cell r="H312">
            <v>211100002</v>
          </cell>
          <cell r="I312" t="str">
            <v>Casquinha Biscoito Doce Baunilha</v>
          </cell>
          <cell r="J312">
            <v>0.31395000000000006</v>
          </cell>
          <cell r="K312">
            <v>1</v>
          </cell>
          <cell r="L312" t="str">
            <v>Un</v>
          </cell>
          <cell r="M312">
            <v>0.31395000000000006</v>
          </cell>
        </row>
        <row r="313">
          <cell r="H313">
            <v>216000015</v>
          </cell>
          <cell r="I313" t="str">
            <v>Doce de Leite</v>
          </cell>
          <cell r="J313">
            <v>0.327146875</v>
          </cell>
          <cell r="K313">
            <v>1.4999999999999999E-2</v>
          </cell>
          <cell r="L313" t="str">
            <v>kg</v>
          </cell>
          <cell r="M313">
            <v>21.809791666666669</v>
          </cell>
        </row>
        <row r="314">
          <cell r="H314">
            <v>210200012</v>
          </cell>
          <cell r="I314" t="str">
            <v>Colher Pequena</v>
          </cell>
          <cell r="J314">
            <v>9.7561756500000013E-2</v>
          </cell>
          <cell r="K314">
            <v>1</v>
          </cell>
          <cell r="L314" t="str">
            <v>Un</v>
          </cell>
          <cell r="M314">
            <v>9.7561756500000013E-2</v>
          </cell>
        </row>
        <row r="315">
          <cell r="H315">
            <v>210200037</v>
          </cell>
          <cell r="I315" t="str">
            <v>Chiquinho - Cone Protetor</v>
          </cell>
          <cell r="J315">
            <v>5.4000000000000006E-2</v>
          </cell>
          <cell r="K315">
            <v>1</v>
          </cell>
          <cell r="L315" t="str">
            <v>Un</v>
          </cell>
          <cell r="M315">
            <v>5.4000000000000006E-2</v>
          </cell>
        </row>
        <row r="316">
          <cell r="H316">
            <v>220100008</v>
          </cell>
          <cell r="I316" t="str">
            <v>Guardanapo Embalado</v>
          </cell>
          <cell r="J316">
            <v>7.1500000000000008E-2</v>
          </cell>
          <cell r="K316">
            <v>1</v>
          </cell>
          <cell r="L316" t="str">
            <v>Un</v>
          </cell>
          <cell r="M316">
            <v>7.1500000000000008E-2</v>
          </cell>
        </row>
        <row r="317">
          <cell r="H317">
            <v>210900009</v>
          </cell>
          <cell r="I317" t="str">
            <v>Chocolate Granulado</v>
          </cell>
          <cell r="J317">
            <v>8.4950495049504957E-2</v>
          </cell>
          <cell r="K317">
            <v>4.0000000000000001E-3</v>
          </cell>
          <cell r="L317" t="str">
            <v>Kg</v>
          </cell>
          <cell r="M317">
            <v>21.237623762376238</v>
          </cell>
        </row>
        <row r="318">
          <cell r="B318">
            <v>100100053</v>
          </cell>
          <cell r="C318">
            <v>1001</v>
          </cell>
          <cell r="D318" t="str">
            <v>Casquinha Trufada c/ Doce de leite e borda de ameidoim</v>
          </cell>
          <cell r="E318">
            <v>1.8058688515000001</v>
          </cell>
          <cell r="F318">
            <v>6.495931120503597</v>
          </cell>
          <cell r="H318">
            <v>210100007</v>
          </cell>
          <cell r="I318" t="str">
            <v>Bebida Láctea UHT Sabores</v>
          </cell>
          <cell r="J318">
            <v>0.84029021999999998</v>
          </cell>
          <cell r="K318">
            <v>7.6999999999999999E-2</v>
          </cell>
          <cell r="L318" t="str">
            <v>Lt</v>
          </cell>
          <cell r="M318">
            <v>10.91286</v>
          </cell>
        </row>
        <row r="319">
          <cell r="H319">
            <v>211100002</v>
          </cell>
          <cell r="I319" t="str">
            <v>Casquinha Biscoito Doce Baunilha</v>
          </cell>
          <cell r="J319">
            <v>0.31395000000000006</v>
          </cell>
          <cell r="K319">
            <v>1</v>
          </cell>
          <cell r="L319" t="str">
            <v>Un</v>
          </cell>
          <cell r="M319">
            <v>0.31395000000000006</v>
          </cell>
        </row>
        <row r="320">
          <cell r="H320">
            <v>216000015</v>
          </cell>
          <cell r="I320" t="str">
            <v>Doce de Leite</v>
          </cell>
          <cell r="J320">
            <v>0.327146875</v>
          </cell>
          <cell r="K320">
            <v>1.4999999999999999E-2</v>
          </cell>
          <cell r="L320" t="str">
            <v>kg</v>
          </cell>
          <cell r="M320">
            <v>21.809791666666669</v>
          </cell>
        </row>
        <row r="321">
          <cell r="H321">
            <v>210200012</v>
          </cell>
          <cell r="I321" t="str">
            <v>Colher Pequena</v>
          </cell>
          <cell r="J321">
            <v>9.7561756500000013E-2</v>
          </cell>
          <cell r="K321">
            <v>1</v>
          </cell>
          <cell r="L321" t="str">
            <v>Un</v>
          </cell>
          <cell r="M321">
            <v>9.7561756500000013E-2</v>
          </cell>
        </row>
        <row r="322">
          <cell r="H322">
            <v>210200037</v>
          </cell>
          <cell r="I322" t="str">
            <v>Chiquinho - Cone Protetor</v>
          </cell>
          <cell r="J322">
            <v>5.4000000000000006E-2</v>
          </cell>
          <cell r="K322">
            <v>1</v>
          </cell>
          <cell r="L322" t="str">
            <v>Un</v>
          </cell>
          <cell r="M322">
            <v>5.4000000000000006E-2</v>
          </cell>
        </row>
        <row r="323">
          <cell r="H323">
            <v>220100008</v>
          </cell>
          <cell r="I323" t="str">
            <v>Guardanapo Embalado</v>
          </cell>
          <cell r="J323">
            <v>7.1500000000000008E-2</v>
          </cell>
          <cell r="K323">
            <v>1</v>
          </cell>
          <cell r="L323" t="str">
            <v>Un</v>
          </cell>
          <cell r="M323">
            <v>7.1500000000000008E-2</v>
          </cell>
        </row>
        <row r="324">
          <cell r="H324">
            <v>216000002</v>
          </cell>
          <cell r="I324" t="str">
            <v>Amendoim Triturado</v>
          </cell>
          <cell r="J324">
            <v>0.10142000000000001</v>
          </cell>
          <cell r="K324">
            <v>4.0000000000000001E-3</v>
          </cell>
          <cell r="L324" t="str">
            <v>Kg</v>
          </cell>
          <cell r="M324">
            <v>25.355</v>
          </cell>
        </row>
        <row r="325">
          <cell r="B325">
            <v>100100054</v>
          </cell>
          <cell r="C325">
            <v>1001</v>
          </cell>
          <cell r="D325" t="str">
            <v>Casquinha Trufada Pistache</v>
          </cell>
          <cell r="E325">
            <v>3.9821899765</v>
          </cell>
          <cell r="F325">
            <v>14.324424375899278</v>
          </cell>
          <cell r="H325">
            <v>210100007</v>
          </cell>
          <cell r="I325" t="str">
            <v>Bebida Láctea Uht Sabores</v>
          </cell>
          <cell r="J325">
            <v>0.84029021999999998</v>
          </cell>
          <cell r="K325">
            <v>7.6999999999999999E-2</v>
          </cell>
          <cell r="L325" t="str">
            <v>Kg</v>
          </cell>
          <cell r="M325">
            <v>10.91286</v>
          </cell>
        </row>
        <row r="326">
          <cell r="H326">
            <v>211100002</v>
          </cell>
          <cell r="I326" t="str">
            <v>Casquinha Biscoito Doce Baunilha</v>
          </cell>
          <cell r="J326">
            <v>0.31395000000000006</v>
          </cell>
          <cell r="K326">
            <v>1</v>
          </cell>
          <cell r="L326" t="str">
            <v>un</v>
          </cell>
          <cell r="M326">
            <v>0.31395000000000006</v>
          </cell>
        </row>
        <row r="327">
          <cell r="H327">
            <v>216000068</v>
          </cell>
          <cell r="I327" t="str">
            <v>Crempistache</v>
          </cell>
          <cell r="J327">
            <v>2.6048879999999999</v>
          </cell>
          <cell r="K327">
            <v>1.7999999999999999E-2</v>
          </cell>
          <cell r="L327" t="str">
            <v>Kg</v>
          </cell>
          <cell r="M327">
            <v>144.71600000000001</v>
          </cell>
        </row>
        <row r="328">
          <cell r="H328">
            <v>210200037</v>
          </cell>
          <cell r="I328" t="str">
            <v>Chiquinho - Cone Protetor</v>
          </cell>
          <cell r="J328">
            <v>5.4000000000000006E-2</v>
          </cell>
          <cell r="K328">
            <v>1</v>
          </cell>
          <cell r="L328" t="str">
            <v>Un</v>
          </cell>
          <cell r="M328">
            <v>5.4000000000000006E-2</v>
          </cell>
        </row>
        <row r="329">
          <cell r="H329">
            <v>220100008</v>
          </cell>
          <cell r="I329" t="str">
            <v>Guardanapo Embalado</v>
          </cell>
          <cell r="J329">
            <v>7.1500000000000008E-2</v>
          </cell>
          <cell r="K329">
            <v>1</v>
          </cell>
          <cell r="L329" t="str">
            <v>Un</v>
          </cell>
          <cell r="M329">
            <v>7.1500000000000008E-2</v>
          </cell>
        </row>
        <row r="330">
          <cell r="H330">
            <v>210200012</v>
          </cell>
          <cell r="I330" t="str">
            <v>Colher Pequena</v>
          </cell>
          <cell r="J330">
            <v>9.7561756500000013E-2</v>
          </cell>
          <cell r="K330">
            <v>1</v>
          </cell>
          <cell r="L330" t="str">
            <v>Un</v>
          </cell>
          <cell r="M330">
            <v>9.7561756500000013E-2</v>
          </cell>
        </row>
        <row r="331">
          <cell r="B331">
            <v>101000002</v>
          </cell>
          <cell r="C331">
            <v>1010</v>
          </cell>
          <cell r="D331" t="str">
            <v>Top Tasty Frutas Vermelhas</v>
          </cell>
          <cell r="E331">
            <v>5.0185373893505005</v>
          </cell>
          <cell r="F331">
            <v>18.052292767447842</v>
          </cell>
          <cell r="G331">
            <v>21.465628960076067</v>
          </cell>
          <cell r="H331">
            <v>210400020</v>
          </cell>
          <cell r="I331" t="str">
            <v>Polpa de Frutas Vermelhas</v>
          </cell>
          <cell r="J331">
            <v>1.4651158536585365</v>
          </cell>
          <cell r="K331">
            <v>3.7499999999999999E-2</v>
          </cell>
          <cell r="L331" t="str">
            <v>Kg</v>
          </cell>
          <cell r="M331">
            <v>39.069756097560976</v>
          </cell>
        </row>
        <row r="332">
          <cell r="H332">
            <v>210100001</v>
          </cell>
          <cell r="I332" t="str">
            <v>Bebida Láctea Uht (Baunilha)</v>
          </cell>
          <cell r="J332">
            <v>1.5823646999999998</v>
          </cell>
          <cell r="K332">
            <v>0.14499999999999999</v>
          </cell>
          <cell r="L332" t="str">
            <v>Lt</v>
          </cell>
          <cell r="M332">
            <v>10.91286</v>
          </cell>
        </row>
        <row r="333">
          <cell r="H333">
            <v>210900018</v>
          </cell>
          <cell r="I333" t="str">
            <v>Trufada Chiquinho</v>
          </cell>
          <cell r="J333">
            <v>0.80228571428571416</v>
          </cell>
          <cell r="K333">
            <v>1.7999999999999999E-2</v>
          </cell>
          <cell r="L333" t="str">
            <v>Kg</v>
          </cell>
          <cell r="M333">
            <v>44.571428571428569</v>
          </cell>
        </row>
        <row r="334">
          <cell r="H334">
            <v>216000004</v>
          </cell>
          <cell r="I334" t="str">
            <v>Chantilly</v>
          </cell>
          <cell r="J334">
            <v>0.55339349999999998</v>
          </cell>
          <cell r="K334">
            <v>1.9800000000000002E-2</v>
          </cell>
          <cell r="L334" t="str">
            <v>Lt</v>
          </cell>
          <cell r="M334">
            <v>27.949166666666663</v>
          </cell>
        </row>
        <row r="335">
          <cell r="H335">
            <v>201000028</v>
          </cell>
          <cell r="I335" t="str">
            <v>Gás Oxido Nitroso/1Kg</v>
          </cell>
          <cell r="J335">
            <v>1.8700000000000001E-2</v>
          </cell>
          <cell r="K335">
            <v>2.0000000000000001E-4</v>
          </cell>
          <cell r="L335" t="str">
            <v>Kg</v>
          </cell>
          <cell r="M335">
            <v>93.5</v>
          </cell>
        </row>
        <row r="336">
          <cell r="H336">
            <v>210200011</v>
          </cell>
          <cell r="I336" t="str">
            <v>Colher Grande</v>
          </cell>
          <cell r="J336">
            <v>0.18408533000000002</v>
          </cell>
          <cell r="K336">
            <v>1</v>
          </cell>
          <cell r="L336" t="str">
            <v>Un</v>
          </cell>
          <cell r="M336">
            <v>0.18408533000000002</v>
          </cell>
        </row>
        <row r="337">
          <cell r="H337">
            <v>210200030</v>
          </cell>
          <cell r="I337" t="str">
            <v>Copo 330 ml Milk Shake</v>
          </cell>
          <cell r="J337">
            <v>0.2827461</v>
          </cell>
          <cell r="K337">
            <v>1</v>
          </cell>
          <cell r="L337" t="str">
            <v>Un</v>
          </cell>
          <cell r="M337">
            <v>0.2827461</v>
          </cell>
        </row>
        <row r="338">
          <cell r="H338">
            <v>220100008</v>
          </cell>
          <cell r="I338" t="str">
            <v>Guardanapo Embalado</v>
          </cell>
          <cell r="J338">
            <v>7.1500000000000008E-2</v>
          </cell>
          <cell r="K338">
            <v>1</v>
          </cell>
          <cell r="L338" t="str">
            <v>Un</v>
          </cell>
          <cell r="M338">
            <v>7.1500000000000008E-2</v>
          </cell>
        </row>
        <row r="339">
          <cell r="H339">
            <v>210900012</v>
          </cell>
          <cell r="I339" t="str">
            <v>Suflair Nestle</v>
          </cell>
          <cell r="J339">
            <v>5.8346191406250004E-2</v>
          </cell>
          <cell r="K339">
            <v>5.0000000000000001E-4</v>
          </cell>
          <cell r="L339" t="str">
            <v>Kg</v>
          </cell>
          <cell r="M339">
            <v>116.6923828125</v>
          </cell>
        </row>
        <row r="340">
          <cell r="B340">
            <v>101000003</v>
          </cell>
          <cell r="C340">
            <v>1010</v>
          </cell>
          <cell r="D340" t="str">
            <v>Top Tasty Maracuja</v>
          </cell>
          <cell r="E340">
            <v>4.82572519422855</v>
          </cell>
          <cell r="F340">
            <v>17.35872372024658</v>
          </cell>
          <cell r="G340">
            <v>20.800573106085395</v>
          </cell>
          <cell r="H340">
            <v>210400018</v>
          </cell>
          <cell r="I340" t="str">
            <v>Polpa de maracujá</v>
          </cell>
          <cell r="J340">
            <v>1.2723036585365854</v>
          </cell>
          <cell r="K340">
            <v>4.4999999999999998E-2</v>
          </cell>
          <cell r="L340" t="str">
            <v>Kg</v>
          </cell>
          <cell r="M340">
            <v>28.273414634146345</v>
          </cell>
        </row>
        <row r="341">
          <cell r="H341">
            <v>210100001</v>
          </cell>
          <cell r="I341" t="str">
            <v>Bebida Láctea Uht (Baunilha)</v>
          </cell>
          <cell r="J341">
            <v>1.5823646999999998</v>
          </cell>
          <cell r="K341">
            <v>0.14499999999999999</v>
          </cell>
          <cell r="L341" t="str">
            <v>Lt</v>
          </cell>
          <cell r="M341">
            <v>10.91286</v>
          </cell>
        </row>
        <row r="342">
          <cell r="H342">
            <v>210900018</v>
          </cell>
          <cell r="I342" t="str">
            <v>Trufada Chiquinho</v>
          </cell>
          <cell r="J342">
            <v>0.80228571428571416</v>
          </cell>
          <cell r="K342">
            <v>1.7999999999999999E-2</v>
          </cell>
          <cell r="L342" t="str">
            <v>Kg</v>
          </cell>
          <cell r="M342">
            <v>44.571428571428569</v>
          </cell>
        </row>
        <row r="343">
          <cell r="H343">
            <v>216000004</v>
          </cell>
          <cell r="I343" t="str">
            <v>Chantilly</v>
          </cell>
          <cell r="J343">
            <v>0.55339349999999998</v>
          </cell>
          <cell r="K343">
            <v>1.9800000000000002E-2</v>
          </cell>
          <cell r="L343" t="str">
            <v>Lt</v>
          </cell>
          <cell r="M343">
            <v>27.949166666666663</v>
          </cell>
        </row>
        <row r="344">
          <cell r="H344">
            <v>201000028</v>
          </cell>
          <cell r="I344" t="str">
            <v>Gás Oxido Nitroso/1Kg</v>
          </cell>
          <cell r="J344">
            <v>1.8700000000000001E-2</v>
          </cell>
          <cell r="K344">
            <v>2.0000000000000001E-4</v>
          </cell>
          <cell r="L344" t="str">
            <v>Kg</v>
          </cell>
          <cell r="M344">
            <v>93.5</v>
          </cell>
        </row>
        <row r="345">
          <cell r="H345">
            <v>210200011</v>
          </cell>
          <cell r="I345" t="str">
            <v>Colher Grande</v>
          </cell>
          <cell r="J345">
            <v>0.18408533000000002</v>
          </cell>
          <cell r="K345">
            <v>1</v>
          </cell>
          <cell r="L345" t="str">
            <v>Un</v>
          </cell>
          <cell r="M345">
            <v>0.18408533000000002</v>
          </cell>
        </row>
        <row r="346">
          <cell r="H346">
            <v>210200030</v>
          </cell>
          <cell r="I346" t="str">
            <v>Copo 330 ml Milk Shake</v>
          </cell>
          <cell r="J346">
            <v>0.2827461</v>
          </cell>
          <cell r="K346">
            <v>1</v>
          </cell>
          <cell r="L346" t="str">
            <v>Un</v>
          </cell>
          <cell r="M346">
            <v>0.2827461</v>
          </cell>
        </row>
        <row r="347">
          <cell r="H347">
            <v>220100008</v>
          </cell>
          <cell r="I347" t="str">
            <v>Guardanapo Embalado</v>
          </cell>
          <cell r="J347">
            <v>7.1500000000000008E-2</v>
          </cell>
          <cell r="K347">
            <v>1</v>
          </cell>
          <cell r="L347" t="str">
            <v>Un</v>
          </cell>
          <cell r="M347">
            <v>7.1500000000000008E-2</v>
          </cell>
        </row>
        <row r="348">
          <cell r="H348">
            <v>210900012</v>
          </cell>
          <cell r="I348" t="str">
            <v>Suflair Nestle</v>
          </cell>
          <cell r="J348">
            <v>5.8346191406250004E-2</v>
          </cell>
          <cell r="K348">
            <v>5.0000000000000001E-4</v>
          </cell>
          <cell r="L348" t="str">
            <v>Kg</v>
          </cell>
          <cell r="M348">
            <v>116.6923828125</v>
          </cell>
        </row>
        <row r="349">
          <cell r="B349">
            <v>101000005</v>
          </cell>
          <cell r="C349">
            <v>1010</v>
          </cell>
          <cell r="D349" t="str">
            <v>Top Tasty Morango</v>
          </cell>
          <cell r="E349">
            <v>4.82572519422855</v>
          </cell>
          <cell r="F349">
            <v>17.35872372024658</v>
          </cell>
          <cell r="G349">
            <v>20.800573106085395</v>
          </cell>
          <cell r="H349">
            <v>210400017</v>
          </cell>
          <cell r="I349" t="str">
            <v>Polpa de morango</v>
          </cell>
          <cell r="J349">
            <v>1.2723036585365854</v>
          </cell>
          <cell r="K349">
            <v>4.4999999999999998E-2</v>
          </cell>
          <cell r="L349" t="str">
            <v>Kg</v>
          </cell>
          <cell r="M349">
            <v>28.273414634146345</v>
          </cell>
        </row>
        <row r="350">
          <cell r="H350">
            <v>210100001</v>
          </cell>
          <cell r="I350" t="str">
            <v>Bebida Láctea Uht (Baunilha)</v>
          </cell>
          <cell r="J350">
            <v>1.5823646999999998</v>
          </cell>
          <cell r="K350">
            <v>0.14499999999999999</v>
          </cell>
          <cell r="L350" t="str">
            <v>Lt</v>
          </cell>
          <cell r="M350">
            <v>10.91286</v>
          </cell>
        </row>
        <row r="351">
          <cell r="H351">
            <v>210900018</v>
          </cell>
          <cell r="I351" t="str">
            <v>Trufada Chiquinho</v>
          </cell>
          <cell r="J351">
            <v>0.80228571428571416</v>
          </cell>
          <cell r="K351">
            <v>1.7999999999999999E-2</v>
          </cell>
          <cell r="L351" t="str">
            <v>Kg</v>
          </cell>
          <cell r="M351">
            <v>44.571428571428569</v>
          </cell>
        </row>
        <row r="352">
          <cell r="H352">
            <v>216000004</v>
          </cell>
          <cell r="I352" t="str">
            <v>Chantilly</v>
          </cell>
          <cell r="J352">
            <v>0.55339349999999998</v>
          </cell>
          <cell r="K352">
            <v>1.9800000000000002E-2</v>
          </cell>
          <cell r="L352" t="str">
            <v>Lt</v>
          </cell>
          <cell r="M352">
            <v>27.949166666666663</v>
          </cell>
        </row>
        <row r="353">
          <cell r="H353">
            <v>201000028</v>
          </cell>
          <cell r="I353" t="str">
            <v>Gás Oxido Nitroso/1Kg</v>
          </cell>
          <cell r="J353">
            <v>1.8700000000000001E-2</v>
          </cell>
          <cell r="K353">
            <v>2.0000000000000001E-4</v>
          </cell>
          <cell r="L353" t="str">
            <v>Kg</v>
          </cell>
          <cell r="M353">
            <v>93.5</v>
          </cell>
        </row>
        <row r="354">
          <cell r="H354">
            <v>210200011</v>
          </cell>
          <cell r="I354" t="str">
            <v>Colher Grande</v>
          </cell>
          <cell r="J354">
            <v>0.18408533000000002</v>
          </cell>
          <cell r="K354">
            <v>1</v>
          </cell>
          <cell r="L354" t="str">
            <v>Un</v>
          </cell>
          <cell r="M354">
            <v>0.18408533000000002</v>
          </cell>
        </row>
        <row r="355">
          <cell r="H355">
            <v>210200030</v>
          </cell>
          <cell r="I355" t="str">
            <v>Copo 330 ml Milk Shake</v>
          </cell>
          <cell r="J355">
            <v>0.2827461</v>
          </cell>
          <cell r="K355">
            <v>1</v>
          </cell>
          <cell r="L355" t="str">
            <v>Un</v>
          </cell>
          <cell r="M355">
            <v>0.2827461</v>
          </cell>
        </row>
        <row r="356">
          <cell r="H356">
            <v>220100008</v>
          </cell>
          <cell r="I356" t="str">
            <v>Guardanapo Embalado</v>
          </cell>
          <cell r="J356">
            <v>7.1500000000000008E-2</v>
          </cell>
          <cell r="K356">
            <v>1</v>
          </cell>
          <cell r="L356" t="str">
            <v>Un</v>
          </cell>
          <cell r="M356">
            <v>7.1500000000000008E-2</v>
          </cell>
        </row>
        <row r="357">
          <cell r="H357">
            <v>210900012</v>
          </cell>
          <cell r="I357" t="str">
            <v>Suflair Nestle</v>
          </cell>
          <cell r="J357">
            <v>5.8346191406250004E-2</v>
          </cell>
          <cell r="K357">
            <v>5.0000000000000001E-4</v>
          </cell>
          <cell r="L357" t="str">
            <v>Kg</v>
          </cell>
          <cell r="M357">
            <v>116.6923828125</v>
          </cell>
        </row>
        <row r="358">
          <cell r="B358">
            <v>101100003</v>
          </cell>
          <cell r="C358">
            <v>1011</v>
          </cell>
          <cell r="D358" t="str">
            <v>Mix Fruit Frutas Vermelhas</v>
          </cell>
          <cell r="E358">
            <v>3.7913766598780487</v>
          </cell>
          <cell r="F358">
            <v>13.638045539129671</v>
          </cell>
          <cell r="G358">
            <v>17.232855061065543</v>
          </cell>
          <cell r="H358">
            <v>210400020</v>
          </cell>
          <cell r="I358" t="str">
            <v>Polpa de Frutas Vermelhas</v>
          </cell>
          <cell r="J358">
            <v>1.9534878048780489</v>
          </cell>
          <cell r="K358">
            <v>0.05</v>
          </cell>
          <cell r="L358" t="str">
            <v>Kg</v>
          </cell>
          <cell r="M358">
            <v>39.069756097560976</v>
          </cell>
        </row>
        <row r="359">
          <cell r="H359">
            <v>210100001</v>
          </cell>
          <cell r="I359" t="str">
            <v>Bebida Láctea Uht (Baunilha)</v>
          </cell>
          <cell r="J359">
            <v>1.1458503</v>
          </cell>
          <cell r="K359">
            <v>0.105</v>
          </cell>
          <cell r="L359" t="str">
            <v>Lt</v>
          </cell>
          <cell r="M359">
            <v>10.91286</v>
          </cell>
        </row>
        <row r="360">
          <cell r="H360">
            <v>210200011</v>
          </cell>
          <cell r="I360" t="str">
            <v>Colher Grande</v>
          </cell>
          <cell r="J360">
            <v>0.18408533000000002</v>
          </cell>
          <cell r="K360">
            <v>1</v>
          </cell>
          <cell r="L360" t="str">
            <v>Un</v>
          </cell>
          <cell r="M360">
            <v>0.18408533000000002</v>
          </cell>
        </row>
        <row r="361">
          <cell r="H361">
            <v>220100008</v>
          </cell>
          <cell r="I361" t="str">
            <v>Guardanapo Embalado</v>
          </cell>
          <cell r="J361">
            <v>7.1500000000000008E-2</v>
          </cell>
          <cell r="K361">
            <v>1</v>
          </cell>
          <cell r="L361" t="str">
            <v>Un</v>
          </cell>
          <cell r="M361">
            <v>7.1500000000000008E-2</v>
          </cell>
        </row>
        <row r="362">
          <cell r="H362">
            <v>210200051</v>
          </cell>
          <cell r="I362" t="str">
            <v>Copo 220 ml Poli Papel</v>
          </cell>
          <cell r="J362">
            <v>0.436453225</v>
          </cell>
          <cell r="K362">
            <v>1</v>
          </cell>
          <cell r="L362" t="str">
            <v>Un</v>
          </cell>
          <cell r="M362">
            <v>0.436453225</v>
          </cell>
        </row>
        <row r="363">
          <cell r="B363">
            <v>101100004</v>
          </cell>
          <cell r="C363">
            <v>1011</v>
          </cell>
          <cell r="D363" t="str">
            <v>Mix Fruit Maracuja</v>
          </cell>
          <cell r="E363">
            <v>2.6860912940243904</v>
          </cell>
          <cell r="F363">
            <v>9.6621988993683097</v>
          </cell>
          <cell r="G363">
            <v>13.42045874232506</v>
          </cell>
          <cell r="H363">
            <v>210400018</v>
          </cell>
          <cell r="I363" t="str">
            <v>Polpa de maracujá</v>
          </cell>
          <cell r="J363">
            <v>0.8482024390243903</v>
          </cell>
          <cell r="K363">
            <v>0.03</v>
          </cell>
          <cell r="L363" t="str">
            <v>Kg</v>
          </cell>
          <cell r="M363">
            <v>28.273414634146345</v>
          </cell>
        </row>
        <row r="364">
          <cell r="H364">
            <v>210100001</v>
          </cell>
          <cell r="I364" t="str">
            <v>Bebida Láctea Uht (Baunilha)</v>
          </cell>
          <cell r="J364">
            <v>1.1458503</v>
          </cell>
          <cell r="K364">
            <v>0.105</v>
          </cell>
          <cell r="L364" t="str">
            <v>Lt</v>
          </cell>
          <cell r="M364">
            <v>10.91286</v>
          </cell>
        </row>
        <row r="365">
          <cell r="H365">
            <v>210200011</v>
          </cell>
          <cell r="I365" t="str">
            <v>Colher Grande</v>
          </cell>
          <cell r="J365">
            <v>0.18408533000000002</v>
          </cell>
          <cell r="K365">
            <v>1</v>
          </cell>
          <cell r="L365" t="str">
            <v>Un</v>
          </cell>
          <cell r="M365">
            <v>0.18408533000000002</v>
          </cell>
        </row>
        <row r="366">
          <cell r="H366">
            <v>220100008</v>
          </cell>
          <cell r="I366" t="str">
            <v>Guardanapo Embalado</v>
          </cell>
          <cell r="J366">
            <v>7.1500000000000008E-2</v>
          </cell>
          <cell r="K366">
            <v>1</v>
          </cell>
          <cell r="L366" t="str">
            <v>Un</v>
          </cell>
          <cell r="M366">
            <v>7.1500000000000008E-2</v>
          </cell>
        </row>
        <row r="367">
          <cell r="H367">
            <v>210200051</v>
          </cell>
          <cell r="I367" t="str">
            <v>Copo 220 ml Poli Papel</v>
          </cell>
          <cell r="J367">
            <v>0.436453225</v>
          </cell>
          <cell r="K367">
            <v>1</v>
          </cell>
          <cell r="L367" t="str">
            <v>Un</v>
          </cell>
          <cell r="M367">
            <v>0.436453225</v>
          </cell>
        </row>
        <row r="368">
          <cell r="B368">
            <v>101100005</v>
          </cell>
          <cell r="C368">
            <v>1011</v>
          </cell>
          <cell r="D368" t="str">
            <v>Mix Fruit Morango</v>
          </cell>
          <cell r="E368">
            <v>3.3929266598780488</v>
          </cell>
          <cell r="F368">
            <v>12.204772157834707</v>
          </cell>
          <cell r="G368">
            <v>15.85850472573027</v>
          </cell>
          <cell r="H368">
            <v>210400017</v>
          </cell>
          <cell r="I368" t="str">
            <v>Polpa de morango</v>
          </cell>
          <cell r="J368">
            <v>1.5550378048780489</v>
          </cell>
          <cell r="K368">
            <v>5.5E-2</v>
          </cell>
          <cell r="L368" t="str">
            <v>Kg</v>
          </cell>
          <cell r="M368">
            <v>28.273414634146345</v>
          </cell>
        </row>
        <row r="369">
          <cell r="H369">
            <v>210100001</v>
          </cell>
          <cell r="I369" t="str">
            <v>Bebida Láctea Uht (Baunilha)</v>
          </cell>
          <cell r="J369">
            <v>1.1458503</v>
          </cell>
          <cell r="K369">
            <v>0.105</v>
          </cell>
          <cell r="L369" t="str">
            <v>Lt</v>
          </cell>
          <cell r="M369">
            <v>10.91286</v>
          </cell>
        </row>
        <row r="370">
          <cell r="H370">
            <v>210200011</v>
          </cell>
          <cell r="I370" t="str">
            <v>Colher Grande</v>
          </cell>
          <cell r="J370">
            <v>0.18408533000000002</v>
          </cell>
          <cell r="K370">
            <v>1</v>
          </cell>
          <cell r="L370" t="str">
            <v>Un</v>
          </cell>
          <cell r="M370">
            <v>0.18408533000000002</v>
          </cell>
        </row>
        <row r="371">
          <cell r="H371">
            <v>220100008</v>
          </cell>
          <cell r="I371" t="str">
            <v>Guardanapo Embalado</v>
          </cell>
          <cell r="J371">
            <v>7.1500000000000008E-2</v>
          </cell>
          <cell r="K371">
            <v>1</v>
          </cell>
          <cell r="L371" t="str">
            <v>Un</v>
          </cell>
          <cell r="M371">
            <v>7.1500000000000008E-2</v>
          </cell>
        </row>
        <row r="372">
          <cell r="H372">
            <v>210200051</v>
          </cell>
          <cell r="I372" t="str">
            <v>Copo 220 ml Poli Papel</v>
          </cell>
          <cell r="J372">
            <v>0.436453225</v>
          </cell>
          <cell r="K372">
            <v>1</v>
          </cell>
          <cell r="L372" t="str">
            <v>Un</v>
          </cell>
          <cell r="M372">
            <v>0.436453225</v>
          </cell>
        </row>
        <row r="373">
          <cell r="B373">
            <v>100600007</v>
          </cell>
          <cell r="C373">
            <v>1006</v>
          </cell>
          <cell r="D373" t="str">
            <v>Top Mix c/ Kit Kat</v>
          </cell>
          <cell r="E373">
            <v>5.5610318124918727</v>
          </cell>
          <cell r="F373">
            <v>20.003711555726159</v>
          </cell>
          <cell r="G373">
            <v>23.336823319122022</v>
          </cell>
          <cell r="H373">
            <v>216100007</v>
          </cell>
          <cell r="I373" t="str">
            <v>Ganache Chiquinho</v>
          </cell>
          <cell r="J373">
            <v>1.2441</v>
          </cell>
          <cell r="K373">
            <v>0.03</v>
          </cell>
          <cell r="L373" t="str">
            <v>Kg</v>
          </cell>
          <cell r="M373">
            <v>41.47</v>
          </cell>
        </row>
        <row r="374">
          <cell r="H374">
            <v>210100007</v>
          </cell>
          <cell r="I374" t="str">
            <v>Bebida Láctea Uht sabores</v>
          </cell>
          <cell r="J374">
            <v>1.6914933000000001</v>
          </cell>
          <cell r="K374">
            <v>0.155</v>
          </cell>
          <cell r="L374" t="str">
            <v>Lt</v>
          </cell>
          <cell r="M374">
            <v>10.91286</v>
          </cell>
        </row>
        <row r="375">
          <cell r="H375">
            <v>210900011</v>
          </cell>
          <cell r="I375" t="str">
            <v>Kit Kat</v>
          </cell>
          <cell r="J375">
            <v>1.7103219126506024</v>
          </cell>
          <cell r="K375">
            <v>2.07E-2</v>
          </cell>
          <cell r="L375" t="str">
            <v>Kg</v>
          </cell>
          <cell r="M375">
            <v>82.624246987951807</v>
          </cell>
        </row>
        <row r="376">
          <cell r="H376">
            <v>220100008</v>
          </cell>
          <cell r="I376" t="str">
            <v>Guardanapo Embalado</v>
          </cell>
          <cell r="J376">
            <v>7.1500000000000008E-2</v>
          </cell>
          <cell r="K376">
            <v>1</v>
          </cell>
          <cell r="L376" t="str">
            <v>un</v>
          </cell>
          <cell r="M376">
            <v>7.1500000000000008E-2</v>
          </cell>
        </row>
        <row r="377">
          <cell r="H377">
            <v>210200043</v>
          </cell>
          <cell r="I377" t="str">
            <v>Copo 300 Ml Top Mix</v>
          </cell>
          <cell r="J377">
            <v>0.65953126984126986</v>
          </cell>
          <cell r="K377">
            <v>1</v>
          </cell>
          <cell r="L377" t="str">
            <v>Un</v>
          </cell>
          <cell r="M377">
            <v>0.65953126984126986</v>
          </cell>
        </row>
        <row r="378">
          <cell r="H378">
            <v>210200011</v>
          </cell>
          <cell r="I378" t="str">
            <v>Colher Grande</v>
          </cell>
          <cell r="J378">
            <v>0.18408533000000002</v>
          </cell>
          <cell r="K378">
            <v>1</v>
          </cell>
          <cell r="L378" t="str">
            <v>Un</v>
          </cell>
          <cell r="M378">
            <v>0.18408533000000002</v>
          </cell>
        </row>
        <row r="379">
          <cell r="B379">
            <v>100600013</v>
          </cell>
          <cell r="C379">
            <v>1006</v>
          </cell>
          <cell r="D379" t="str">
            <v>Top Mix c/Suflair</v>
          </cell>
          <cell r="E379">
            <v>7.3514813842162701</v>
          </cell>
          <cell r="F379">
            <v>26.444177641065718</v>
          </cell>
          <cell r="G379">
            <v>29.512516553656649</v>
          </cell>
          <cell r="H379">
            <v>216100007</v>
          </cell>
          <cell r="I379" t="str">
            <v>Ganache Chiquinho</v>
          </cell>
          <cell r="J379">
            <v>1.2441</v>
          </cell>
          <cell r="K379">
            <v>0.03</v>
          </cell>
          <cell r="L379" t="str">
            <v>Kg</v>
          </cell>
          <cell r="M379">
            <v>41.47</v>
          </cell>
        </row>
        <row r="380">
          <cell r="H380">
            <v>210100007</v>
          </cell>
          <cell r="I380" t="str">
            <v>Bebida Láctea Uht Sabores</v>
          </cell>
          <cell r="J380">
            <v>1.6914933000000001</v>
          </cell>
          <cell r="K380">
            <v>0.155</v>
          </cell>
          <cell r="L380" t="str">
            <v>Lt</v>
          </cell>
          <cell r="M380">
            <v>10.91286</v>
          </cell>
        </row>
        <row r="381">
          <cell r="H381">
            <v>210900012</v>
          </cell>
          <cell r="I381" t="str">
            <v>Suflair Nestle</v>
          </cell>
          <cell r="J381">
            <v>3.500771484375</v>
          </cell>
          <cell r="K381">
            <v>0.03</v>
          </cell>
          <cell r="L381" t="str">
            <v>Kg</v>
          </cell>
          <cell r="M381">
            <v>116.6923828125</v>
          </cell>
        </row>
        <row r="382">
          <cell r="H382">
            <v>220100008</v>
          </cell>
          <cell r="I382" t="str">
            <v>Guardanapo Embalado</v>
          </cell>
          <cell r="J382">
            <v>7.1500000000000008E-2</v>
          </cell>
          <cell r="K382">
            <v>1</v>
          </cell>
          <cell r="L382" t="str">
            <v>Un</v>
          </cell>
          <cell r="M382">
            <v>7.1500000000000008E-2</v>
          </cell>
        </row>
        <row r="383">
          <cell r="H383">
            <v>210200043</v>
          </cell>
          <cell r="I383" t="str">
            <v>Copo 300 Ml Top Mix</v>
          </cell>
          <cell r="J383">
            <v>0.65953126984126986</v>
          </cell>
          <cell r="K383">
            <v>1</v>
          </cell>
          <cell r="L383" t="str">
            <v>Un</v>
          </cell>
          <cell r="M383">
            <v>0.65953126984126986</v>
          </cell>
        </row>
        <row r="384">
          <cell r="H384">
            <v>210200011</v>
          </cell>
          <cell r="I384" t="str">
            <v>Colher Grande</v>
          </cell>
          <cell r="J384">
            <v>0.18408533000000002</v>
          </cell>
          <cell r="K384">
            <v>1</v>
          </cell>
          <cell r="L384" t="str">
            <v>Un</v>
          </cell>
          <cell r="M384">
            <v>0.18408533000000002</v>
          </cell>
        </row>
        <row r="385">
          <cell r="B385">
            <v>100600016</v>
          </cell>
          <cell r="C385">
            <v>1006</v>
          </cell>
          <cell r="D385" t="str">
            <v>Top Mix c/ Suflair Duo</v>
          </cell>
          <cell r="E385">
            <v>7.3514813842162701</v>
          </cell>
          <cell r="F385">
            <v>26.444177641065718</v>
          </cell>
          <cell r="G385">
            <v>29.512516553656649</v>
          </cell>
          <cell r="H385">
            <v>216100007</v>
          </cell>
          <cell r="I385" t="str">
            <v>Ganache Chiquinho</v>
          </cell>
          <cell r="J385">
            <v>1.2441</v>
          </cell>
          <cell r="K385">
            <v>0.03</v>
          </cell>
          <cell r="L385" t="str">
            <v>Kg</v>
          </cell>
          <cell r="M385">
            <v>41.47</v>
          </cell>
        </row>
        <row r="386">
          <cell r="H386">
            <v>210100007</v>
          </cell>
          <cell r="I386" t="str">
            <v>Bebida Láctea Uht sabores</v>
          </cell>
          <cell r="J386">
            <v>1.6914933000000001</v>
          </cell>
          <cell r="K386">
            <v>0.155</v>
          </cell>
          <cell r="L386" t="str">
            <v>Lt</v>
          </cell>
          <cell r="M386">
            <v>10.91286</v>
          </cell>
        </row>
        <row r="387">
          <cell r="H387">
            <v>210900013</v>
          </cell>
          <cell r="I387" t="str">
            <v>Suflair Duo</v>
          </cell>
          <cell r="J387">
            <v>3.500771484375</v>
          </cell>
          <cell r="K387">
            <v>0.03</v>
          </cell>
          <cell r="L387" t="str">
            <v>Kg</v>
          </cell>
          <cell r="M387">
            <v>116.6923828125</v>
          </cell>
        </row>
        <row r="388">
          <cell r="H388">
            <v>210200043</v>
          </cell>
          <cell r="I388" t="str">
            <v>Copo 300 Ml Top Mix</v>
          </cell>
          <cell r="J388">
            <v>0.65953126984126986</v>
          </cell>
          <cell r="K388">
            <v>1</v>
          </cell>
          <cell r="L388" t="str">
            <v>Un</v>
          </cell>
          <cell r="M388">
            <v>0.65953126984126986</v>
          </cell>
        </row>
        <row r="389">
          <cell r="H389">
            <v>220100008</v>
          </cell>
          <cell r="I389" t="str">
            <v>Guardanapo Embalado</v>
          </cell>
          <cell r="J389">
            <v>7.1500000000000008E-2</v>
          </cell>
          <cell r="K389">
            <v>1</v>
          </cell>
          <cell r="L389" t="str">
            <v>Un</v>
          </cell>
          <cell r="M389">
            <v>7.1500000000000008E-2</v>
          </cell>
        </row>
        <row r="390">
          <cell r="H390">
            <v>210200011</v>
          </cell>
          <cell r="I390" t="str">
            <v>Colher Grande</v>
          </cell>
          <cell r="J390">
            <v>0.18408533000000002</v>
          </cell>
          <cell r="K390">
            <v>1</v>
          </cell>
          <cell r="L390" t="str">
            <v>Un</v>
          </cell>
          <cell r="M390">
            <v>0.18408533000000002</v>
          </cell>
        </row>
        <row r="391">
          <cell r="B391">
            <v>101500001</v>
          </cell>
          <cell r="C391">
            <v>1015</v>
          </cell>
          <cell r="D391" t="str">
            <v>Petit Gateau</v>
          </cell>
          <cell r="E391">
            <v>8.2751755500000019</v>
          </cell>
          <cell r="F391">
            <v>29.766818525179861</v>
          </cell>
          <cell r="G391">
            <v>32.698560941891323</v>
          </cell>
          <cell r="H391">
            <v>210100007</v>
          </cell>
          <cell r="I391" t="str">
            <v>Bebida Láctea Uht Sabores</v>
          </cell>
          <cell r="J391">
            <v>0.84029021999999998</v>
          </cell>
          <cell r="K391">
            <v>7.6999999999999999E-2</v>
          </cell>
          <cell r="L391" t="str">
            <v>Lt</v>
          </cell>
          <cell r="M391">
            <v>10.91286</v>
          </cell>
        </row>
        <row r="392">
          <cell r="H392">
            <v>216000009</v>
          </cell>
          <cell r="I392" t="str">
            <v>Canudinho Biju Wafer</v>
          </cell>
          <cell r="J392">
            <v>0.22659000000000001</v>
          </cell>
          <cell r="K392">
            <v>6.0000000000000001E-3</v>
          </cell>
          <cell r="L392" t="str">
            <v>Un</v>
          </cell>
          <cell r="M392">
            <v>37.765000000000001</v>
          </cell>
        </row>
        <row r="393">
          <cell r="H393">
            <v>216100007</v>
          </cell>
          <cell r="I393" t="str">
            <v>Ganache Chiquinho</v>
          </cell>
          <cell r="J393">
            <v>0.311025</v>
          </cell>
          <cell r="K393">
            <v>7.4999999999999997E-3</v>
          </cell>
          <cell r="L393" t="str">
            <v>kg</v>
          </cell>
          <cell r="M393">
            <v>41.47</v>
          </cell>
        </row>
        <row r="394">
          <cell r="H394">
            <v>216000036</v>
          </cell>
          <cell r="I394" t="str">
            <v>Bolo Petit Gateau</v>
          </cell>
          <cell r="J394">
            <v>6.0995200000000001</v>
          </cell>
          <cell r="K394">
            <v>5.6000000000000001E-2</v>
          </cell>
          <cell r="L394" t="str">
            <v>Kg</v>
          </cell>
          <cell r="M394">
            <v>108.92</v>
          </cell>
        </row>
        <row r="395">
          <cell r="H395">
            <v>210200031</v>
          </cell>
          <cell r="I395" t="str">
            <v>Embalagem Cartonada Petit</v>
          </cell>
          <cell r="J395">
            <v>0.54216500000000001</v>
          </cell>
          <cell r="K395">
            <v>1</v>
          </cell>
          <cell r="L395" t="str">
            <v>Un</v>
          </cell>
          <cell r="M395">
            <v>0.54216500000000001</v>
          </cell>
        </row>
        <row r="396">
          <cell r="H396">
            <v>220100008</v>
          </cell>
          <cell r="I396" t="str">
            <v>Guardanapo Embalado</v>
          </cell>
          <cell r="J396">
            <v>7.1500000000000008E-2</v>
          </cell>
          <cell r="K396">
            <v>1</v>
          </cell>
          <cell r="L396" t="str">
            <v>Un</v>
          </cell>
          <cell r="M396">
            <v>7.1500000000000008E-2</v>
          </cell>
        </row>
        <row r="397">
          <cell r="H397">
            <v>210200011</v>
          </cell>
          <cell r="I397" t="str">
            <v>Colher Grande</v>
          </cell>
          <cell r="J397">
            <v>0.18408533000000002</v>
          </cell>
          <cell r="K397">
            <v>1</v>
          </cell>
          <cell r="L397" t="str">
            <v>Un</v>
          </cell>
          <cell r="M397">
            <v>0.18408533000000002</v>
          </cell>
        </row>
        <row r="398">
          <cell r="B398">
            <v>101500002</v>
          </cell>
          <cell r="C398">
            <v>1015</v>
          </cell>
          <cell r="D398" t="str">
            <v>Petit Gateau Raffinée</v>
          </cell>
          <cell r="E398">
            <v>6.8006555500000001</v>
          </cell>
          <cell r="F398">
            <v>24.462789748201438</v>
          </cell>
          <cell r="G398">
            <v>27.612585144530126</v>
          </cell>
          <cell r="H398">
            <v>210100007</v>
          </cell>
          <cell r="I398" t="str">
            <v>Bebida Láctea Uht Sabores</v>
          </cell>
          <cell r="J398">
            <v>0.84029021999999998</v>
          </cell>
          <cell r="K398">
            <v>7.6999999999999999E-2</v>
          </cell>
          <cell r="L398" t="str">
            <v>Lt</v>
          </cell>
          <cell r="M398">
            <v>10.91286</v>
          </cell>
        </row>
        <row r="399">
          <cell r="H399">
            <v>216000009</v>
          </cell>
          <cell r="I399" t="str">
            <v>Canudinho Biju Wafer</v>
          </cell>
          <cell r="J399">
            <v>0.22659000000000001</v>
          </cell>
          <cell r="K399">
            <v>6.0000000000000001E-3</v>
          </cell>
          <cell r="L399" t="str">
            <v>Un</v>
          </cell>
          <cell r="M399">
            <v>37.765000000000001</v>
          </cell>
        </row>
        <row r="400">
          <cell r="H400">
            <v>216000053</v>
          </cell>
          <cell r="I400" t="str">
            <v>Petit Gateau Raffinée 80gr</v>
          </cell>
          <cell r="J400">
            <v>4.625</v>
          </cell>
          <cell r="K400">
            <v>1</v>
          </cell>
          <cell r="L400" t="str">
            <v>Kg</v>
          </cell>
          <cell r="M400">
            <v>4.625</v>
          </cell>
        </row>
        <row r="401">
          <cell r="H401">
            <v>216100007</v>
          </cell>
          <cell r="I401" t="str">
            <v>Ganache Chiquinho</v>
          </cell>
          <cell r="J401">
            <v>0.311025</v>
          </cell>
          <cell r="K401">
            <v>7.4999999999999997E-3</v>
          </cell>
          <cell r="L401" t="str">
            <v>Kg</v>
          </cell>
          <cell r="M401">
            <v>41.47</v>
          </cell>
        </row>
        <row r="402">
          <cell r="H402">
            <v>210200031</v>
          </cell>
          <cell r="I402" t="str">
            <v>Embalagem Cartonada Petit</v>
          </cell>
          <cell r="J402">
            <v>0.54216500000000001</v>
          </cell>
          <cell r="K402">
            <v>1</v>
          </cell>
          <cell r="L402" t="str">
            <v>Un</v>
          </cell>
          <cell r="M402">
            <v>0.54216500000000001</v>
          </cell>
        </row>
        <row r="403">
          <cell r="H403">
            <v>220100008</v>
          </cell>
          <cell r="I403" t="str">
            <v>Guardanapo Embalado</v>
          </cell>
          <cell r="J403">
            <v>7.1500000000000008E-2</v>
          </cell>
          <cell r="K403">
            <v>1</v>
          </cell>
          <cell r="L403" t="str">
            <v>Un</v>
          </cell>
          <cell r="M403">
            <v>7.1500000000000008E-2</v>
          </cell>
        </row>
        <row r="404">
          <cell r="H404">
            <v>210200011</v>
          </cell>
          <cell r="I404" t="str">
            <v>Colher Grande</v>
          </cell>
          <cell r="J404">
            <v>0.18408533000000002</v>
          </cell>
          <cell r="K404">
            <v>1</v>
          </cell>
          <cell r="L404" t="str">
            <v>Un</v>
          </cell>
          <cell r="M404">
            <v>0.18408533000000002</v>
          </cell>
        </row>
        <row r="405">
          <cell r="B405">
            <v>101500004</v>
          </cell>
          <cell r="C405">
            <v>1015</v>
          </cell>
          <cell r="D405" t="str">
            <v>Petit Gateau Chiquinho (4x80 gr)</v>
          </cell>
          <cell r="E405">
            <v>18.5</v>
          </cell>
          <cell r="F405">
            <v>28.549382716049383</v>
          </cell>
          <cell r="H405">
            <v>216000053</v>
          </cell>
          <cell r="I405" t="str">
            <v>Petit Gateau Raffinée 80gr</v>
          </cell>
          <cell r="J405">
            <v>18.5</v>
          </cell>
          <cell r="K405">
            <v>4</v>
          </cell>
          <cell r="L405" t="str">
            <v>UN</v>
          </cell>
          <cell r="M405">
            <v>4.625</v>
          </cell>
        </row>
        <row r="406">
          <cell r="B406">
            <v>101500005</v>
          </cell>
          <cell r="C406">
            <v>1015</v>
          </cell>
          <cell r="D406" t="str">
            <v>Petit Gateau Chiquinho (1x80 gr)</v>
          </cell>
          <cell r="E406">
            <v>5.0250000000000004</v>
          </cell>
          <cell r="F406">
            <v>7.7546296296296298</v>
          </cell>
          <cell r="H406">
            <v>216000055</v>
          </cell>
          <cell r="I406" t="str">
            <v>Petit Gateau Raffinée (1x80gr)</v>
          </cell>
          <cell r="J406">
            <v>5.0250000000000004</v>
          </cell>
          <cell r="K406">
            <v>1</v>
          </cell>
          <cell r="L406" t="str">
            <v>UN</v>
          </cell>
          <cell r="M406">
            <v>5.0250000000000004</v>
          </cell>
        </row>
        <row r="407">
          <cell r="B407">
            <v>100800001</v>
          </cell>
          <cell r="C407">
            <v>1008</v>
          </cell>
          <cell r="D407" t="str">
            <v>Sundae Cobertura Caramelo</v>
          </cell>
          <cell r="E407">
            <v>2.4094716932838285</v>
          </cell>
          <cell r="F407">
            <v>8.6671643643303167</v>
          </cell>
          <cell r="G407">
            <v>12.466330894318785</v>
          </cell>
          <cell r="H407">
            <v>210500001</v>
          </cell>
          <cell r="I407" t="str">
            <v>Cobertura de Caramelo</v>
          </cell>
          <cell r="J407">
            <v>0.17938283828382839</v>
          </cell>
          <cell r="K407">
            <v>0.01</v>
          </cell>
          <cell r="L407" t="str">
            <v>Kg</v>
          </cell>
          <cell r="M407">
            <v>17.93828382838284</v>
          </cell>
        </row>
        <row r="408">
          <cell r="H408">
            <v>210100007</v>
          </cell>
          <cell r="I408" t="str">
            <v>Bebida Láctea Uht Sabores</v>
          </cell>
          <cell r="J408">
            <v>1.1458503</v>
          </cell>
          <cell r="K408">
            <v>0.105</v>
          </cell>
          <cell r="L408" t="str">
            <v>Lt</v>
          </cell>
          <cell r="M408">
            <v>10.91286</v>
          </cell>
        </row>
        <row r="409">
          <cell r="H409">
            <v>216000002</v>
          </cell>
          <cell r="I409" t="str">
            <v>Amendoim Triturado</v>
          </cell>
          <cell r="J409">
            <v>0.27890500000000001</v>
          </cell>
          <cell r="K409">
            <v>1.0999999999999999E-2</v>
          </cell>
          <cell r="L409" t="str">
            <v>Kg</v>
          </cell>
          <cell r="M409">
            <v>25.355</v>
          </cell>
        </row>
        <row r="410">
          <cell r="H410">
            <v>216000009</v>
          </cell>
          <cell r="I410" t="str">
            <v>Canudinho Biju Wafer</v>
          </cell>
          <cell r="J410">
            <v>0.11329500000000001</v>
          </cell>
          <cell r="K410">
            <v>3.0000000000000001E-3</v>
          </cell>
          <cell r="L410" t="str">
            <v>Un</v>
          </cell>
          <cell r="M410">
            <v>37.765000000000001</v>
          </cell>
        </row>
        <row r="411">
          <cell r="H411">
            <v>210200011</v>
          </cell>
          <cell r="I411" t="str">
            <v>Colher Grande</v>
          </cell>
          <cell r="J411">
            <v>0.18408533000000002</v>
          </cell>
          <cell r="K411">
            <v>1</v>
          </cell>
          <cell r="L411" t="str">
            <v>Un</v>
          </cell>
          <cell r="M411">
            <v>0.18408533000000002</v>
          </cell>
        </row>
        <row r="412">
          <cell r="H412">
            <v>220100008</v>
          </cell>
          <cell r="I412" t="str">
            <v>Guardanapo Embalado</v>
          </cell>
          <cell r="J412">
            <v>7.1500000000000008E-2</v>
          </cell>
          <cell r="K412">
            <v>1</v>
          </cell>
          <cell r="L412" t="str">
            <v>Un</v>
          </cell>
          <cell r="M412">
            <v>7.1500000000000008E-2</v>
          </cell>
        </row>
        <row r="413">
          <cell r="H413">
            <v>210200051</v>
          </cell>
          <cell r="I413" t="str">
            <v>Copo 220 ml Poli Papel</v>
          </cell>
          <cell r="J413">
            <v>0.436453225</v>
          </cell>
          <cell r="K413">
            <v>1</v>
          </cell>
          <cell r="L413" t="str">
            <v>Un</v>
          </cell>
          <cell r="M413">
            <v>0.436453225</v>
          </cell>
        </row>
        <row r="414">
          <cell r="B414">
            <v>100800002</v>
          </cell>
          <cell r="C414">
            <v>1008</v>
          </cell>
          <cell r="D414" t="str">
            <v>Sundae Cobertura Chocolate</v>
          </cell>
          <cell r="E414">
            <v>2.4107802741419144</v>
          </cell>
          <cell r="F414">
            <v>8.6718714897191163</v>
          </cell>
          <cell r="G414">
            <v>12.470844505916535</v>
          </cell>
          <cell r="H414">
            <v>210500004</v>
          </cell>
          <cell r="I414" t="str">
            <v>Cobertura Chocolate</v>
          </cell>
          <cell r="J414">
            <v>0.18069141914191419</v>
          </cell>
          <cell r="K414">
            <v>0.01</v>
          </cell>
          <cell r="L414" t="str">
            <v>Kg</v>
          </cell>
          <cell r="M414">
            <v>18.06914191419142</v>
          </cell>
        </row>
        <row r="415">
          <cell r="H415">
            <v>210100007</v>
          </cell>
          <cell r="I415" t="str">
            <v>Bebida Láctea Uht Sabores</v>
          </cell>
          <cell r="J415">
            <v>1.1458503</v>
          </cell>
          <cell r="K415">
            <v>0.105</v>
          </cell>
          <cell r="L415" t="str">
            <v>Lt</v>
          </cell>
          <cell r="M415">
            <v>10.91286</v>
          </cell>
        </row>
        <row r="416">
          <cell r="H416">
            <v>216000002</v>
          </cell>
          <cell r="I416" t="str">
            <v>Amendoim Triturado</v>
          </cell>
          <cell r="J416">
            <v>0.27890500000000001</v>
          </cell>
          <cell r="K416">
            <v>1.0999999999999999E-2</v>
          </cell>
          <cell r="L416" t="str">
            <v>Kg</v>
          </cell>
          <cell r="M416">
            <v>25.355</v>
          </cell>
        </row>
        <row r="417">
          <cell r="H417">
            <v>216000009</v>
          </cell>
          <cell r="I417" t="str">
            <v>Canudinho Biju Wafer</v>
          </cell>
          <cell r="J417">
            <v>0.11329500000000001</v>
          </cell>
          <cell r="K417">
            <v>3.0000000000000001E-3</v>
          </cell>
          <cell r="L417" t="str">
            <v>Un</v>
          </cell>
          <cell r="M417">
            <v>37.765000000000001</v>
          </cell>
        </row>
        <row r="418">
          <cell r="H418">
            <v>210200011</v>
          </cell>
          <cell r="I418" t="str">
            <v>Colher Grande</v>
          </cell>
          <cell r="J418">
            <v>0.18408533000000002</v>
          </cell>
          <cell r="K418">
            <v>1</v>
          </cell>
          <cell r="L418" t="str">
            <v>Un</v>
          </cell>
          <cell r="M418">
            <v>0.18408533000000002</v>
          </cell>
        </row>
        <row r="419">
          <cell r="H419">
            <v>220100008</v>
          </cell>
          <cell r="I419" t="str">
            <v>Guardanapo Embalado</v>
          </cell>
          <cell r="J419">
            <v>7.1500000000000008E-2</v>
          </cell>
          <cell r="K419">
            <v>1</v>
          </cell>
          <cell r="L419" t="str">
            <v>Un</v>
          </cell>
          <cell r="M419">
            <v>7.1500000000000008E-2</v>
          </cell>
        </row>
        <row r="420">
          <cell r="H420">
            <v>210200051</v>
          </cell>
          <cell r="I420" t="str">
            <v>Copo 220 ml Poli Papel</v>
          </cell>
          <cell r="J420">
            <v>0.436453225</v>
          </cell>
          <cell r="K420">
            <v>1</v>
          </cell>
          <cell r="L420" t="str">
            <v>Un</v>
          </cell>
          <cell r="M420">
            <v>0.436453225</v>
          </cell>
        </row>
        <row r="421">
          <cell r="B421">
            <v>100800003</v>
          </cell>
          <cell r="C421">
            <v>1008</v>
          </cell>
          <cell r="D421" t="str">
            <v>Sundae Cobertura Morango</v>
          </cell>
          <cell r="E421">
            <v>2.4275558516996703</v>
          </cell>
          <cell r="F421">
            <v>8.732215293883705</v>
          </cell>
          <cell r="G421">
            <v>12.528707526727036</v>
          </cell>
          <cell r="H421">
            <v>210500006</v>
          </cell>
          <cell r="I421" t="str">
            <v>Cobertura Morango</v>
          </cell>
          <cell r="J421">
            <v>0.19746699669966997</v>
          </cell>
          <cell r="K421">
            <v>0.01</v>
          </cell>
          <cell r="L421" t="str">
            <v>Kg</v>
          </cell>
          <cell r="M421">
            <v>19.746699669966997</v>
          </cell>
        </row>
        <row r="422">
          <cell r="H422">
            <v>210100007</v>
          </cell>
          <cell r="I422" t="str">
            <v>Bebida Láctea Uht Sabores</v>
          </cell>
          <cell r="J422">
            <v>1.1458503</v>
          </cell>
          <cell r="K422">
            <v>0.105</v>
          </cell>
          <cell r="L422" t="str">
            <v>Lt</v>
          </cell>
          <cell r="M422">
            <v>10.91286</v>
          </cell>
        </row>
        <row r="423">
          <cell r="H423">
            <v>216000002</v>
          </cell>
          <cell r="I423" t="str">
            <v>Amendoim Triturado</v>
          </cell>
          <cell r="J423">
            <v>0.27890500000000001</v>
          </cell>
          <cell r="K423">
            <v>1.0999999999999999E-2</v>
          </cell>
          <cell r="L423" t="str">
            <v>Kg</v>
          </cell>
          <cell r="M423">
            <v>25.355</v>
          </cell>
        </row>
        <row r="424">
          <cell r="H424">
            <v>216000009</v>
          </cell>
          <cell r="I424" t="str">
            <v>Canudinho Biju Wafer</v>
          </cell>
          <cell r="J424">
            <v>0.11329500000000001</v>
          </cell>
          <cell r="K424">
            <v>3.0000000000000001E-3</v>
          </cell>
          <cell r="L424" t="str">
            <v>Un</v>
          </cell>
          <cell r="M424">
            <v>37.765000000000001</v>
          </cell>
        </row>
        <row r="425">
          <cell r="H425">
            <v>210200011</v>
          </cell>
          <cell r="I425" t="str">
            <v>Colher Grande</v>
          </cell>
          <cell r="J425">
            <v>0.18408533000000002</v>
          </cell>
          <cell r="K425">
            <v>1</v>
          </cell>
          <cell r="L425" t="str">
            <v>Un</v>
          </cell>
          <cell r="M425">
            <v>0.18408533000000002</v>
          </cell>
        </row>
        <row r="426">
          <cell r="H426">
            <v>220100008</v>
          </cell>
          <cell r="I426" t="str">
            <v>Guardanapo Embalado</v>
          </cell>
          <cell r="J426">
            <v>7.1500000000000008E-2</v>
          </cell>
          <cell r="K426">
            <v>1</v>
          </cell>
          <cell r="L426" t="str">
            <v>Un</v>
          </cell>
          <cell r="M426">
            <v>7.1500000000000008E-2</v>
          </cell>
        </row>
        <row r="427">
          <cell r="H427">
            <v>210200051</v>
          </cell>
          <cell r="I427" t="str">
            <v>Copo 220 ml Poli Papel</v>
          </cell>
          <cell r="J427">
            <v>0.436453225</v>
          </cell>
          <cell r="K427">
            <v>1</v>
          </cell>
          <cell r="L427" t="str">
            <v>Un</v>
          </cell>
          <cell r="M427">
            <v>0.436453225</v>
          </cell>
        </row>
        <row r="428">
          <cell r="B428">
            <v>100800004</v>
          </cell>
          <cell r="C428">
            <v>1008</v>
          </cell>
          <cell r="D428" t="str">
            <v>Sundae Ovomaltine Cobertura Caramelo</v>
          </cell>
          <cell r="E428">
            <v>2.5954413599504949</v>
          </cell>
          <cell r="F428">
            <v>9.3361199998219231</v>
          </cell>
          <cell r="G428">
            <v>13.10778521417202</v>
          </cell>
          <cell r="H428">
            <v>210500001</v>
          </cell>
          <cell r="I428" t="str">
            <v>Cobertura de Caramelo</v>
          </cell>
          <cell r="J428">
            <v>0.17938283828382839</v>
          </cell>
          <cell r="K428">
            <v>0.01</v>
          </cell>
          <cell r="L428" t="str">
            <v>Kg</v>
          </cell>
          <cell r="M428">
            <v>17.93828382838284</v>
          </cell>
        </row>
        <row r="429">
          <cell r="H429">
            <v>210100007</v>
          </cell>
          <cell r="I429" t="str">
            <v>Bebida Láctea Uht Sabores</v>
          </cell>
          <cell r="J429">
            <v>1.1458503</v>
          </cell>
          <cell r="K429">
            <v>0.105</v>
          </cell>
          <cell r="L429" t="str">
            <v>Lt</v>
          </cell>
          <cell r="M429">
            <v>10.91286</v>
          </cell>
        </row>
        <row r="430">
          <cell r="H430">
            <v>210900004</v>
          </cell>
          <cell r="I430" t="str">
            <v>Ovomaltine</v>
          </cell>
          <cell r="J430">
            <v>0.46487466666666666</v>
          </cell>
          <cell r="K430">
            <v>1.2E-2</v>
          </cell>
          <cell r="L430" t="str">
            <v>Kg</v>
          </cell>
          <cell r="M430">
            <v>38.739555555555555</v>
          </cell>
        </row>
        <row r="431">
          <cell r="H431">
            <v>216000009</v>
          </cell>
          <cell r="I431" t="str">
            <v>Canudinho Biju Wafer</v>
          </cell>
          <cell r="J431">
            <v>0.11329500000000001</v>
          </cell>
          <cell r="K431">
            <v>3.0000000000000001E-3</v>
          </cell>
          <cell r="L431" t="str">
            <v>Kg</v>
          </cell>
          <cell r="M431">
            <v>37.765000000000001</v>
          </cell>
        </row>
        <row r="432">
          <cell r="H432">
            <v>210200011</v>
          </cell>
          <cell r="I432" t="str">
            <v>Colher Grande</v>
          </cell>
          <cell r="J432">
            <v>0.18408533000000002</v>
          </cell>
          <cell r="K432">
            <v>1</v>
          </cell>
          <cell r="L432" t="str">
            <v>Un</v>
          </cell>
          <cell r="M432">
            <v>0.18408533000000002</v>
          </cell>
        </row>
        <row r="433">
          <cell r="H433">
            <v>220100008</v>
          </cell>
          <cell r="I433" t="str">
            <v>Guardanapo Embalado</v>
          </cell>
          <cell r="J433">
            <v>7.1500000000000008E-2</v>
          </cell>
          <cell r="K433">
            <v>1</v>
          </cell>
          <cell r="L433" t="str">
            <v>Un</v>
          </cell>
          <cell r="M433">
            <v>7.1500000000000008E-2</v>
          </cell>
        </row>
        <row r="434">
          <cell r="H434">
            <v>210200051</v>
          </cell>
          <cell r="I434" t="str">
            <v>Copo 220 ml Poli Papel</v>
          </cell>
          <cell r="J434">
            <v>0.436453225</v>
          </cell>
          <cell r="K434">
            <v>1</v>
          </cell>
          <cell r="L434" t="str">
            <v>Un</v>
          </cell>
          <cell r="M434">
            <v>0.436453225</v>
          </cell>
        </row>
        <row r="435">
          <cell r="B435">
            <v>100800005</v>
          </cell>
          <cell r="C435">
            <v>1008</v>
          </cell>
          <cell r="D435" t="str">
            <v>Sundae Ovomaltine Cobertura Chocolate</v>
          </cell>
          <cell r="E435">
            <v>2.5967499408085808</v>
          </cell>
          <cell r="F435">
            <v>9.3408271252107209</v>
          </cell>
          <cell r="G435">
            <v>13.112298825769772</v>
          </cell>
          <cell r="H435">
            <v>210500004</v>
          </cell>
          <cell r="I435" t="str">
            <v>Cobertura Chocolate</v>
          </cell>
          <cell r="J435">
            <v>0.18069141914191419</v>
          </cell>
          <cell r="K435">
            <v>0.01</v>
          </cell>
          <cell r="L435" t="str">
            <v>Kg</v>
          </cell>
          <cell r="M435">
            <v>18.06914191419142</v>
          </cell>
        </row>
        <row r="436">
          <cell r="H436">
            <v>210100007</v>
          </cell>
          <cell r="I436" t="str">
            <v>Bebida Láctea Uht Sabores</v>
          </cell>
          <cell r="J436">
            <v>1.1458503</v>
          </cell>
          <cell r="K436">
            <v>0.105</v>
          </cell>
          <cell r="L436" t="str">
            <v>Lt</v>
          </cell>
          <cell r="M436">
            <v>10.91286</v>
          </cell>
        </row>
        <row r="437">
          <cell r="H437">
            <v>210900004</v>
          </cell>
          <cell r="I437" t="str">
            <v>Ovomaltine</v>
          </cell>
          <cell r="J437">
            <v>0.46487466666666666</v>
          </cell>
          <cell r="K437">
            <v>1.2E-2</v>
          </cell>
          <cell r="L437" t="str">
            <v>Kg</v>
          </cell>
          <cell r="M437">
            <v>38.739555555555555</v>
          </cell>
        </row>
        <row r="438">
          <cell r="H438">
            <v>216000009</v>
          </cell>
          <cell r="I438" t="str">
            <v>Canudinho Biju Wafer</v>
          </cell>
          <cell r="J438">
            <v>0.11329500000000001</v>
          </cell>
          <cell r="K438">
            <v>3.0000000000000001E-3</v>
          </cell>
          <cell r="L438" t="str">
            <v>Kg</v>
          </cell>
          <cell r="M438">
            <v>37.765000000000001</v>
          </cell>
        </row>
        <row r="439">
          <cell r="H439">
            <v>210200011</v>
          </cell>
          <cell r="I439" t="str">
            <v>Colher Grande</v>
          </cell>
          <cell r="J439">
            <v>0.18408533000000002</v>
          </cell>
          <cell r="K439">
            <v>1</v>
          </cell>
          <cell r="L439" t="str">
            <v>Un</v>
          </cell>
          <cell r="M439">
            <v>0.18408533000000002</v>
          </cell>
        </row>
        <row r="440">
          <cell r="H440">
            <v>220100008</v>
          </cell>
          <cell r="I440" t="str">
            <v>Guardanapo Embalado</v>
          </cell>
          <cell r="J440">
            <v>7.1500000000000008E-2</v>
          </cell>
          <cell r="K440">
            <v>1</v>
          </cell>
          <cell r="L440" t="str">
            <v>Un</v>
          </cell>
          <cell r="M440">
            <v>7.1500000000000008E-2</v>
          </cell>
        </row>
        <row r="441">
          <cell r="H441">
            <v>210200051</v>
          </cell>
          <cell r="I441" t="str">
            <v>Copo 220 ml Poli Papel</v>
          </cell>
          <cell r="J441">
            <v>0.436453225</v>
          </cell>
          <cell r="K441">
            <v>1</v>
          </cell>
          <cell r="L441" t="str">
            <v>Un</v>
          </cell>
          <cell r="M441">
            <v>0.436453225</v>
          </cell>
        </row>
        <row r="442">
          <cell r="B442">
            <v>100800006</v>
          </cell>
          <cell r="C442">
            <v>1008</v>
          </cell>
          <cell r="D442" t="str">
            <v>Sundae Ovomaltine Cobertura Morango</v>
          </cell>
          <cell r="E442">
            <v>2.6135255183663366</v>
          </cell>
          <cell r="F442">
            <v>9.4011709293753114</v>
          </cell>
          <cell r="G442">
            <v>12.565751232297929</v>
          </cell>
          <cell r="H442">
            <v>210500006</v>
          </cell>
          <cell r="I442" t="str">
            <v>Cobertura Morango</v>
          </cell>
          <cell r="J442">
            <v>0.19746699669966997</v>
          </cell>
          <cell r="K442">
            <v>0.01</v>
          </cell>
          <cell r="L442" t="str">
            <v>Kg</v>
          </cell>
          <cell r="M442">
            <v>19.746699669966997</v>
          </cell>
        </row>
        <row r="443">
          <cell r="H443">
            <v>210100007</v>
          </cell>
          <cell r="I443" t="str">
            <v>Bebida Láctea Uht Sabores</v>
          </cell>
          <cell r="J443">
            <v>1.1458503</v>
          </cell>
          <cell r="K443">
            <v>0.105</v>
          </cell>
          <cell r="L443" t="str">
            <v>Lt</v>
          </cell>
          <cell r="M443">
            <v>10.91286</v>
          </cell>
        </row>
        <row r="444">
          <cell r="H444">
            <v>210900004</v>
          </cell>
          <cell r="I444" t="str">
            <v>Ovomaltine</v>
          </cell>
          <cell r="J444">
            <v>0.46487466666666666</v>
          </cell>
          <cell r="K444">
            <v>1.2E-2</v>
          </cell>
          <cell r="L444" t="str">
            <v>Kg</v>
          </cell>
          <cell r="M444">
            <v>38.739555555555555</v>
          </cell>
        </row>
        <row r="445">
          <cell r="H445">
            <v>216000009</v>
          </cell>
          <cell r="I445" t="str">
            <v>Canudinho Biju Wafer</v>
          </cell>
          <cell r="J445">
            <v>0.11329500000000001</v>
          </cell>
          <cell r="K445">
            <v>3.0000000000000001E-3</v>
          </cell>
          <cell r="L445" t="str">
            <v>Kg</v>
          </cell>
          <cell r="M445">
            <v>37.765000000000001</v>
          </cell>
        </row>
        <row r="446">
          <cell r="H446">
            <v>210200011</v>
          </cell>
          <cell r="I446" t="str">
            <v>Colher Grande</v>
          </cell>
          <cell r="J446">
            <v>0.18408533000000002</v>
          </cell>
          <cell r="K446">
            <v>1</v>
          </cell>
          <cell r="L446" t="str">
            <v>Un</v>
          </cell>
          <cell r="M446">
            <v>0.18408533000000002</v>
          </cell>
        </row>
        <row r="447">
          <cell r="H447">
            <v>220100008</v>
          </cell>
          <cell r="I447" t="str">
            <v>Guardanapo Embalado</v>
          </cell>
          <cell r="J447">
            <v>7.1500000000000008E-2</v>
          </cell>
          <cell r="K447">
            <v>1</v>
          </cell>
          <cell r="L447" t="str">
            <v>Un</v>
          </cell>
          <cell r="M447">
            <v>7.1500000000000008E-2</v>
          </cell>
        </row>
        <row r="448">
          <cell r="H448">
            <v>210200051</v>
          </cell>
          <cell r="I448" t="str">
            <v>Copo 220 ml Poli Papel</v>
          </cell>
          <cell r="J448">
            <v>0.436453225</v>
          </cell>
          <cell r="K448">
            <v>1</v>
          </cell>
          <cell r="L448" t="str">
            <v>Un</v>
          </cell>
          <cell r="M448">
            <v>0.436453225</v>
          </cell>
        </row>
        <row r="449">
          <cell r="B449">
            <v>100700009</v>
          </cell>
          <cell r="C449">
            <v>1007</v>
          </cell>
          <cell r="D449" t="str">
            <v>Shake Mix® Maracuja Trufado 300 ml</v>
          </cell>
          <cell r="E449">
            <v>4.3194357514285713</v>
          </cell>
          <cell r="F449">
            <v>15.537538674203493</v>
          </cell>
          <cell r="G449">
            <v>19.054258473160665</v>
          </cell>
          <cell r="H449">
            <v>210100001</v>
          </cell>
          <cell r="I449" t="str">
            <v>Bebida Láctea Uht (Baunilha)</v>
          </cell>
          <cell r="J449">
            <v>2.1280076999999999</v>
          </cell>
          <cell r="K449">
            <v>0.19500000000000001</v>
          </cell>
          <cell r="L449" t="str">
            <v>Lt</v>
          </cell>
          <cell r="M449">
            <v>10.91286</v>
          </cell>
        </row>
        <row r="450">
          <cell r="H450">
            <v>210400015</v>
          </cell>
          <cell r="I450" t="str">
            <v>Mescla de Maracujá</v>
          </cell>
          <cell r="J450">
            <v>0.80785714285714294</v>
          </cell>
          <cell r="K450">
            <v>0.03</v>
          </cell>
          <cell r="L450" t="str">
            <v>Kg</v>
          </cell>
          <cell r="M450">
            <v>26.928571428571431</v>
          </cell>
        </row>
        <row r="451">
          <cell r="H451">
            <v>210900018</v>
          </cell>
          <cell r="I451" t="str">
            <v>Trufada Chiquinho</v>
          </cell>
          <cell r="J451">
            <v>0.66857142857142848</v>
          </cell>
          <cell r="K451">
            <v>1.4999999999999999E-2</v>
          </cell>
          <cell r="L451" t="str">
            <v>Kg</v>
          </cell>
          <cell r="M451">
            <v>44.571428571428569</v>
          </cell>
        </row>
        <row r="452">
          <cell r="H452">
            <v>210200011</v>
          </cell>
          <cell r="I452" t="str">
            <v>Colher Grande</v>
          </cell>
          <cell r="J452">
            <v>0.18408533000000002</v>
          </cell>
          <cell r="K452">
            <v>1</v>
          </cell>
          <cell r="L452" t="str">
            <v>Un</v>
          </cell>
          <cell r="M452">
            <v>0.18408533000000002</v>
          </cell>
        </row>
        <row r="453">
          <cell r="H453">
            <v>220100008</v>
          </cell>
          <cell r="I453" t="str">
            <v>Guardanapo Embalado</v>
          </cell>
          <cell r="J453">
            <v>7.1500000000000008E-2</v>
          </cell>
          <cell r="K453">
            <v>1</v>
          </cell>
          <cell r="L453" t="str">
            <v>Un</v>
          </cell>
          <cell r="M453">
            <v>7.1500000000000008E-2</v>
          </cell>
        </row>
        <row r="454">
          <cell r="H454">
            <v>210200013</v>
          </cell>
          <cell r="I454" t="str">
            <v>Copo 330 Ml Shake Mix</v>
          </cell>
          <cell r="J454">
            <v>0.45941415000000008</v>
          </cell>
          <cell r="K454">
            <v>1</v>
          </cell>
          <cell r="L454" t="str">
            <v>Un</v>
          </cell>
          <cell r="M454">
            <v>0.45941415000000008</v>
          </cell>
        </row>
        <row r="455">
          <cell r="B455">
            <v>100700008</v>
          </cell>
          <cell r="C455">
            <v>1007</v>
          </cell>
          <cell r="D455" t="str">
            <v>Shake Mix® Doce de Leite c/ Negresco 300 ml</v>
          </cell>
          <cell r="E455">
            <v>4.4289675966666664</v>
          </cell>
          <cell r="F455">
            <v>15.931538117505992</v>
          </cell>
          <cell r="G455">
            <v>19.432060275727778</v>
          </cell>
          <cell r="H455">
            <v>210100001</v>
          </cell>
          <cell r="I455" t="str">
            <v>Bebida Láctea Uht (Baunilha)</v>
          </cell>
          <cell r="J455">
            <v>2.1280076999999999</v>
          </cell>
          <cell r="K455">
            <v>0.19500000000000001</v>
          </cell>
          <cell r="L455" t="str">
            <v>Lt</v>
          </cell>
          <cell r="M455">
            <v>10.91286</v>
          </cell>
        </row>
        <row r="456">
          <cell r="H456">
            <v>216000019</v>
          </cell>
          <cell r="I456" t="str">
            <v>Biscoito Negresco</v>
          </cell>
          <cell r="J456">
            <v>0.93166666666666664</v>
          </cell>
          <cell r="K456">
            <v>0.03</v>
          </cell>
          <cell r="L456" t="str">
            <v>Kg</v>
          </cell>
          <cell r="M456">
            <v>31.055555555555557</v>
          </cell>
        </row>
        <row r="457">
          <cell r="H457">
            <v>216000015</v>
          </cell>
          <cell r="I457" t="str">
            <v>Doce De Leite</v>
          </cell>
          <cell r="J457">
            <v>0.65429375000000001</v>
          </cell>
          <cell r="K457">
            <v>0.03</v>
          </cell>
          <cell r="L457" t="str">
            <v>Kg</v>
          </cell>
          <cell r="M457">
            <v>21.809791666666669</v>
          </cell>
        </row>
        <row r="458">
          <cell r="H458">
            <v>210200011</v>
          </cell>
          <cell r="I458" t="str">
            <v>Colher Grande</v>
          </cell>
          <cell r="J458">
            <v>0.18408533000000002</v>
          </cell>
          <cell r="K458">
            <v>1</v>
          </cell>
          <cell r="L458" t="str">
            <v>Un</v>
          </cell>
          <cell r="M458">
            <v>0.18408533000000002</v>
          </cell>
        </row>
        <row r="459">
          <cell r="H459">
            <v>220100008</v>
          </cell>
          <cell r="I459" t="str">
            <v>Guardanapo Embalado</v>
          </cell>
          <cell r="J459">
            <v>7.1500000000000008E-2</v>
          </cell>
          <cell r="K459">
            <v>1</v>
          </cell>
          <cell r="L459" t="str">
            <v>Un</v>
          </cell>
          <cell r="M459">
            <v>7.1500000000000008E-2</v>
          </cell>
        </row>
        <row r="460">
          <cell r="H460">
            <v>210200013</v>
          </cell>
          <cell r="I460" t="str">
            <v>Copo 330 Ml Shake Mix</v>
          </cell>
          <cell r="J460">
            <v>0.45941415000000008</v>
          </cell>
          <cell r="K460">
            <v>1</v>
          </cell>
          <cell r="L460" t="str">
            <v>Un</v>
          </cell>
          <cell r="M460">
            <v>0.45941415000000008</v>
          </cell>
        </row>
        <row r="461">
          <cell r="B461">
            <v>100700004</v>
          </cell>
          <cell r="C461">
            <v>1007</v>
          </cell>
          <cell r="D461" t="str">
            <v>Shake Mix® Ninho Trufado 300 ml</v>
          </cell>
          <cell r="E461">
            <v>4.749445275238096</v>
          </cell>
          <cell r="F461">
            <v>17.084335522439194</v>
          </cell>
          <cell r="G461">
            <v>20.537465232465426</v>
          </cell>
          <cell r="H461">
            <v>210100001</v>
          </cell>
          <cell r="I461" t="str">
            <v>Bebida Láctea Uht (Baunilha)</v>
          </cell>
          <cell r="J461">
            <v>2.1280076999999999</v>
          </cell>
          <cell r="K461">
            <v>0.19500000000000001</v>
          </cell>
          <cell r="L461" t="str">
            <v>Lt</v>
          </cell>
          <cell r="M461">
            <v>10.91286</v>
          </cell>
        </row>
        <row r="462">
          <cell r="H462">
            <v>210900018</v>
          </cell>
          <cell r="I462" t="str">
            <v>Trufada Chiquinho</v>
          </cell>
          <cell r="J462">
            <v>0.66857142857142848</v>
          </cell>
          <cell r="K462">
            <v>1.4999999999999999E-2</v>
          </cell>
          <cell r="L462" t="str">
            <v>Kg</v>
          </cell>
          <cell r="M462">
            <v>44.571428571428569</v>
          </cell>
        </row>
        <row r="463">
          <cell r="H463">
            <v>216000017</v>
          </cell>
          <cell r="I463" t="str">
            <v>Leite em Pó Ninho</v>
          </cell>
          <cell r="J463">
            <v>1.2378666666666669</v>
          </cell>
          <cell r="K463">
            <v>0.02</v>
          </cell>
          <cell r="L463" t="str">
            <v>Kg</v>
          </cell>
          <cell r="M463">
            <v>61.893333333333338</v>
          </cell>
        </row>
        <row r="464">
          <cell r="H464">
            <v>210200011</v>
          </cell>
          <cell r="I464" t="str">
            <v>Colher Grande</v>
          </cell>
          <cell r="J464">
            <v>0.18408533000000002</v>
          </cell>
          <cell r="K464">
            <v>1</v>
          </cell>
          <cell r="L464" t="str">
            <v>Un</v>
          </cell>
          <cell r="M464">
            <v>0.18408533000000002</v>
          </cell>
        </row>
        <row r="465">
          <cell r="H465">
            <v>220100008</v>
          </cell>
          <cell r="I465" t="str">
            <v>Guardanapo Embalado</v>
          </cell>
          <cell r="J465">
            <v>7.1500000000000008E-2</v>
          </cell>
          <cell r="K465">
            <v>1</v>
          </cell>
          <cell r="L465" t="str">
            <v>Un</v>
          </cell>
          <cell r="M465">
            <v>7.1500000000000008E-2</v>
          </cell>
        </row>
        <row r="466">
          <cell r="H466">
            <v>210200013</v>
          </cell>
          <cell r="I466" t="str">
            <v>Copo 330 Ml Shake Mix</v>
          </cell>
          <cell r="J466">
            <v>0.45941415000000008</v>
          </cell>
          <cell r="K466">
            <v>1</v>
          </cell>
          <cell r="L466" t="str">
            <v>Un</v>
          </cell>
          <cell r="M466">
            <v>0.45941415000000008</v>
          </cell>
        </row>
        <row r="467">
          <cell r="B467">
            <v>100700005</v>
          </cell>
          <cell r="C467">
            <v>1007</v>
          </cell>
          <cell r="D467" t="str">
            <v>Shake Mix® Chocotino c/ Nutella 300 ml</v>
          </cell>
          <cell r="E467">
            <v>4.5763358466666668</v>
          </cell>
          <cell r="F467">
            <v>16.46163973621103</v>
          </cell>
          <cell r="G467">
            <v>19.940368981475736</v>
          </cell>
          <cell r="H467">
            <v>210100001</v>
          </cell>
          <cell r="I467" t="str">
            <v>Bebida Láctea Uht (Baunilha)</v>
          </cell>
          <cell r="J467">
            <v>2.1280076999999999</v>
          </cell>
          <cell r="K467">
            <v>0.19500000000000001</v>
          </cell>
          <cell r="L467" t="str">
            <v>Lt</v>
          </cell>
          <cell r="M467">
            <v>10.91286</v>
          </cell>
        </row>
        <row r="468">
          <cell r="H468">
            <v>216000050</v>
          </cell>
          <cell r="I468" t="str">
            <v>Nutella</v>
          </cell>
          <cell r="J468">
            <v>1.268454</v>
          </cell>
          <cell r="K468">
            <v>1.7999999999999999E-2</v>
          </cell>
          <cell r="L468" t="str">
            <v>Kg</v>
          </cell>
          <cell r="M468">
            <v>70.469666666666669</v>
          </cell>
        </row>
        <row r="469">
          <cell r="H469">
            <v>210900004</v>
          </cell>
          <cell r="I469" t="str">
            <v>Ovomaltine</v>
          </cell>
          <cell r="J469">
            <v>0.46487466666666666</v>
          </cell>
          <cell r="K469">
            <v>1.2E-2</v>
          </cell>
          <cell r="L469" t="str">
            <v>Kg</v>
          </cell>
          <cell r="M469">
            <v>38.739555555555555</v>
          </cell>
        </row>
        <row r="470">
          <cell r="H470">
            <v>210200011</v>
          </cell>
          <cell r="I470" t="str">
            <v>Colher Grande</v>
          </cell>
          <cell r="J470">
            <v>0.18408533000000002</v>
          </cell>
          <cell r="K470">
            <v>1</v>
          </cell>
          <cell r="L470" t="str">
            <v>Un</v>
          </cell>
          <cell r="M470">
            <v>0.18408533000000002</v>
          </cell>
        </row>
        <row r="471">
          <cell r="H471">
            <v>220100008</v>
          </cell>
          <cell r="I471" t="str">
            <v>Guardanapo Embalado</v>
          </cell>
          <cell r="J471">
            <v>7.1500000000000008E-2</v>
          </cell>
          <cell r="K471">
            <v>1</v>
          </cell>
          <cell r="L471" t="str">
            <v>Un</v>
          </cell>
          <cell r="M471">
            <v>7.1500000000000008E-2</v>
          </cell>
        </row>
        <row r="472">
          <cell r="H472">
            <v>210200013</v>
          </cell>
          <cell r="I472" t="str">
            <v>Copo 330 Ml Shake Mix</v>
          </cell>
          <cell r="J472">
            <v>0.45941415000000008</v>
          </cell>
          <cell r="K472">
            <v>1</v>
          </cell>
          <cell r="L472" t="str">
            <v>Un</v>
          </cell>
          <cell r="M472">
            <v>0.45941415000000008</v>
          </cell>
        </row>
        <row r="473">
          <cell r="B473">
            <v>100700003</v>
          </cell>
          <cell r="C473">
            <v>1007</v>
          </cell>
          <cell r="D473" t="str">
            <v>Shake Mix® Chocomenta c/ Negresco 300 ml</v>
          </cell>
          <cell r="E473">
            <v>4.7971888466666668</v>
          </cell>
          <cell r="F473">
            <v>17.25607498800959</v>
          </cell>
          <cell r="G473">
            <v>20.702144347543751</v>
          </cell>
          <cell r="H473">
            <v>210100001</v>
          </cell>
          <cell r="I473" t="str">
            <v>Bebida Láctea Uht (Baunilha)</v>
          </cell>
          <cell r="J473">
            <v>2.1280076999999999</v>
          </cell>
          <cell r="K473">
            <v>0.19500000000000001</v>
          </cell>
          <cell r="L473" t="str">
            <v>Lt</v>
          </cell>
          <cell r="M473">
            <v>10.91286</v>
          </cell>
        </row>
        <row r="474">
          <cell r="H474">
            <v>216000019</v>
          </cell>
          <cell r="I474" t="str">
            <v>Biscoito Negresco</v>
          </cell>
          <cell r="J474">
            <v>0.93166666666666664</v>
          </cell>
          <cell r="K474">
            <v>0.03</v>
          </cell>
          <cell r="L474" t="str">
            <v>Kg</v>
          </cell>
          <cell r="M474">
            <v>31.055555555555557</v>
          </cell>
        </row>
        <row r="475">
          <cell r="H475">
            <v>210900005</v>
          </cell>
          <cell r="I475" t="str">
            <v>Stracciatella Meio Amarga</v>
          </cell>
          <cell r="J475">
            <v>0.61691499999999999</v>
          </cell>
          <cell r="K475">
            <v>0.02</v>
          </cell>
          <cell r="L475" t="str">
            <v>Kg</v>
          </cell>
          <cell r="M475">
            <v>30.845749999999999</v>
          </cell>
        </row>
        <row r="476">
          <cell r="H476">
            <v>216000032</v>
          </cell>
          <cell r="I476" t="str">
            <v>Creme de Menta</v>
          </cell>
          <cell r="J476">
            <v>0.40559999999999996</v>
          </cell>
          <cell r="K476">
            <v>6.0000000000000001E-3</v>
          </cell>
          <cell r="L476" t="str">
            <v>Kg</v>
          </cell>
          <cell r="M476">
            <v>67.599999999999994</v>
          </cell>
        </row>
        <row r="477">
          <cell r="H477">
            <v>210200011</v>
          </cell>
          <cell r="I477" t="str">
            <v>Colher Grande</v>
          </cell>
          <cell r="J477">
            <v>0.18408533000000002</v>
          </cell>
          <cell r="K477">
            <v>1</v>
          </cell>
          <cell r="L477" t="str">
            <v>Un</v>
          </cell>
          <cell r="M477">
            <v>0.18408533000000002</v>
          </cell>
        </row>
        <row r="478">
          <cell r="H478">
            <v>220100008</v>
          </cell>
          <cell r="I478" t="str">
            <v>Guardanapo Embalado</v>
          </cell>
          <cell r="J478">
            <v>7.1500000000000008E-2</v>
          </cell>
          <cell r="K478">
            <v>1</v>
          </cell>
          <cell r="L478" t="str">
            <v>Un</v>
          </cell>
          <cell r="M478">
            <v>7.1500000000000008E-2</v>
          </cell>
        </row>
        <row r="479">
          <cell r="H479">
            <v>210200013</v>
          </cell>
          <cell r="I479" t="str">
            <v>Copo 330 Ml Shake Mix</v>
          </cell>
          <cell r="J479">
            <v>0.45941415000000008</v>
          </cell>
          <cell r="K479">
            <v>1</v>
          </cell>
          <cell r="L479" t="str">
            <v>Un</v>
          </cell>
          <cell r="M479">
            <v>0.45941415000000008</v>
          </cell>
        </row>
        <row r="480">
          <cell r="B480">
            <v>100700023</v>
          </cell>
          <cell r="C480">
            <v>1007</v>
          </cell>
          <cell r="D480" t="str">
            <v>Shake Mix® Ninho c/ Nutella 300 ml</v>
          </cell>
          <cell r="E480">
            <v>5.3493278466666672</v>
          </cell>
          <cell r="F480">
            <v>19.242186498800958</v>
          </cell>
          <cell r="G480">
            <v>22.60660518278452</v>
          </cell>
          <cell r="H480">
            <v>210100007</v>
          </cell>
          <cell r="I480" t="str">
            <v>Bebida Láctea UHT Sabores</v>
          </cell>
          <cell r="J480">
            <v>2.1280076999999999</v>
          </cell>
          <cell r="K480">
            <v>0.19500000000000001</v>
          </cell>
          <cell r="L480" t="str">
            <v>Lt</v>
          </cell>
          <cell r="M480">
            <v>10.91286</v>
          </cell>
        </row>
        <row r="481">
          <cell r="H481">
            <v>216000017</v>
          </cell>
          <cell r="I481" t="str">
            <v>Leite em Pó Ninho</v>
          </cell>
          <cell r="J481">
            <v>1.2378666666666669</v>
          </cell>
          <cell r="K481">
            <v>0.02</v>
          </cell>
          <cell r="L481" t="str">
            <v>Kg</v>
          </cell>
          <cell r="M481">
            <v>61.893333333333338</v>
          </cell>
        </row>
        <row r="482">
          <cell r="H482">
            <v>216000050</v>
          </cell>
          <cell r="I482" t="str">
            <v>Nutella</v>
          </cell>
          <cell r="J482">
            <v>1.268454</v>
          </cell>
          <cell r="K482">
            <v>1.7999999999999999E-2</v>
          </cell>
          <cell r="L482" t="str">
            <v>kg</v>
          </cell>
          <cell r="M482">
            <v>70.469666666666669</v>
          </cell>
        </row>
        <row r="483">
          <cell r="H483">
            <v>210200011</v>
          </cell>
          <cell r="I483" t="str">
            <v>Colher Grande</v>
          </cell>
          <cell r="J483">
            <v>0.18408533000000002</v>
          </cell>
          <cell r="K483">
            <v>1</v>
          </cell>
          <cell r="L483" t="str">
            <v>Un</v>
          </cell>
          <cell r="M483">
            <v>0.18408533000000002</v>
          </cell>
        </row>
        <row r="484">
          <cell r="H484">
            <v>220100008</v>
          </cell>
          <cell r="I484" t="str">
            <v>Guardanapo Embalado</v>
          </cell>
          <cell r="J484">
            <v>7.1500000000000008E-2</v>
          </cell>
          <cell r="K484">
            <v>1</v>
          </cell>
          <cell r="L484" t="str">
            <v>Un</v>
          </cell>
          <cell r="M484">
            <v>7.1500000000000008E-2</v>
          </cell>
        </row>
        <row r="485">
          <cell r="H485">
            <v>210200013</v>
          </cell>
          <cell r="I485" t="str">
            <v>Copo 330 Ml Shake Mix</v>
          </cell>
          <cell r="J485">
            <v>0.45941415000000008</v>
          </cell>
          <cell r="K485">
            <v>1</v>
          </cell>
          <cell r="L485" t="str">
            <v>Un</v>
          </cell>
          <cell r="M485">
            <v>0.45941415000000008</v>
          </cell>
        </row>
        <row r="486">
          <cell r="B486">
            <v>100700025</v>
          </cell>
          <cell r="C486">
            <v>1007</v>
          </cell>
          <cell r="D486" t="str">
            <v>Shake Mix® Suflair Trufado 300 ml</v>
          </cell>
          <cell r="E486">
            <v>7.0123500929464289</v>
          </cell>
          <cell r="F486">
            <v>25.224280909879237</v>
          </cell>
          <cell r="G486">
            <v>28.342770779081693</v>
          </cell>
          <cell r="H486">
            <v>210100002</v>
          </cell>
          <cell r="I486" t="str">
            <v>Bebida Láctea Uht (Chocolate)</v>
          </cell>
          <cell r="J486">
            <v>1.06400385</v>
          </cell>
          <cell r="K486">
            <v>9.7500000000000003E-2</v>
          </cell>
          <cell r="L486" t="str">
            <v>Lt</v>
          </cell>
          <cell r="M486">
            <v>10.91286</v>
          </cell>
        </row>
        <row r="487">
          <cell r="H487">
            <v>210100001</v>
          </cell>
          <cell r="I487" t="str">
            <v>Bebida Láctea Uht (Baunilha)</v>
          </cell>
          <cell r="J487">
            <v>1.06400385</v>
          </cell>
          <cell r="K487">
            <v>9.7500000000000003E-2</v>
          </cell>
          <cell r="L487" t="str">
            <v>Lt</v>
          </cell>
          <cell r="M487">
            <v>10.91286</v>
          </cell>
        </row>
        <row r="488">
          <cell r="H488">
            <v>210900012</v>
          </cell>
          <cell r="I488" t="str">
            <v>Suflair Nestle</v>
          </cell>
          <cell r="J488">
            <v>3.500771484375</v>
          </cell>
          <cell r="K488">
            <v>0.03</v>
          </cell>
          <cell r="L488" t="str">
            <v>kg</v>
          </cell>
          <cell r="M488">
            <v>116.6923828125</v>
          </cell>
        </row>
        <row r="489">
          <cell r="H489">
            <v>210900018</v>
          </cell>
          <cell r="I489" t="str">
            <v>Trufada Chiquinho</v>
          </cell>
          <cell r="J489">
            <v>0.66857142857142848</v>
          </cell>
          <cell r="K489">
            <v>1.4999999999999999E-2</v>
          </cell>
          <cell r="L489" t="str">
            <v>kg</v>
          </cell>
          <cell r="M489">
            <v>44.571428571428569</v>
          </cell>
        </row>
        <row r="490">
          <cell r="H490">
            <v>210200011</v>
          </cell>
          <cell r="I490" t="str">
            <v>Colher Grande</v>
          </cell>
          <cell r="J490">
            <v>0.18408533000000002</v>
          </cell>
          <cell r="K490">
            <v>1</v>
          </cell>
          <cell r="L490" t="str">
            <v>un</v>
          </cell>
          <cell r="M490">
            <v>0.18408533000000002</v>
          </cell>
        </row>
        <row r="491">
          <cell r="H491">
            <v>220100008</v>
          </cell>
          <cell r="I491" t="str">
            <v>Guardanapo Embalado</v>
          </cell>
          <cell r="J491">
            <v>7.1500000000000008E-2</v>
          </cell>
          <cell r="K491">
            <v>1</v>
          </cell>
          <cell r="L491" t="str">
            <v>un</v>
          </cell>
          <cell r="M491">
            <v>7.1500000000000008E-2</v>
          </cell>
        </row>
        <row r="492">
          <cell r="H492">
            <v>210200013</v>
          </cell>
          <cell r="I492" t="str">
            <v>Copo 330 Ml Shake Mix</v>
          </cell>
          <cell r="J492">
            <v>0.45941415000000008</v>
          </cell>
          <cell r="K492">
            <v>1</v>
          </cell>
          <cell r="L492" t="str">
            <v>un</v>
          </cell>
          <cell r="M492">
            <v>0.45941415000000008</v>
          </cell>
        </row>
        <row r="493">
          <cell r="B493">
            <v>100700033</v>
          </cell>
          <cell r="C493">
            <v>1007</v>
          </cell>
          <cell r="D493" t="str">
            <v>Shake Mix® Ouro Branco 300 ml</v>
          </cell>
          <cell r="E493">
            <v>5.6209386085714286</v>
          </cell>
          <cell r="F493">
            <v>20.219203627954776</v>
          </cell>
          <cell r="G493">
            <v>22.939045720979216</v>
          </cell>
          <cell r="H493">
            <v>210100001</v>
          </cell>
          <cell r="I493" t="str">
            <v>Bebida Láctea Uht (Baunilha)</v>
          </cell>
          <cell r="J493">
            <v>2.1280076999999999</v>
          </cell>
          <cell r="K493">
            <v>0.19500000000000001</v>
          </cell>
          <cell r="L493" t="str">
            <v>Lt</v>
          </cell>
          <cell r="M493">
            <v>10.91286</v>
          </cell>
        </row>
        <row r="494">
          <cell r="H494">
            <v>210900026</v>
          </cell>
          <cell r="I494" t="str">
            <v>Bombom Ouro Branco</v>
          </cell>
          <cell r="J494">
            <v>2.1093600000000001</v>
          </cell>
          <cell r="K494">
            <v>2</v>
          </cell>
          <cell r="L494" t="str">
            <v>Un</v>
          </cell>
          <cell r="M494">
            <v>1.0546800000000001</v>
          </cell>
        </row>
        <row r="495">
          <cell r="H495">
            <v>210900018</v>
          </cell>
          <cell r="I495" t="str">
            <v>Trufada Chiquinho</v>
          </cell>
          <cell r="J495">
            <v>0.66857142857142848</v>
          </cell>
          <cell r="K495">
            <v>1.4999999999999999E-2</v>
          </cell>
          <cell r="L495" t="str">
            <v>kg</v>
          </cell>
          <cell r="M495">
            <v>44.571428571428569</v>
          </cell>
        </row>
        <row r="496">
          <cell r="H496">
            <v>210200011</v>
          </cell>
          <cell r="I496" t="str">
            <v>Colher Grande</v>
          </cell>
          <cell r="J496">
            <v>0.18408533000000002</v>
          </cell>
          <cell r="K496">
            <v>1</v>
          </cell>
          <cell r="L496" t="str">
            <v>un</v>
          </cell>
          <cell r="M496">
            <v>0.18408533000000002</v>
          </cell>
        </row>
        <row r="497">
          <cell r="H497">
            <v>220100008</v>
          </cell>
          <cell r="I497" t="str">
            <v>Guardanapo Embalado</v>
          </cell>
          <cell r="J497">
            <v>7.1500000000000008E-2</v>
          </cell>
          <cell r="K497">
            <v>1</v>
          </cell>
          <cell r="L497" t="str">
            <v>un</v>
          </cell>
          <cell r="M497">
            <v>7.1500000000000008E-2</v>
          </cell>
        </row>
        <row r="498">
          <cell r="H498">
            <v>210200013</v>
          </cell>
          <cell r="I498" t="str">
            <v>Copo 330 Ml Shake Mix</v>
          </cell>
          <cell r="J498">
            <v>0.45941415000000008</v>
          </cell>
          <cell r="K498">
            <v>1</v>
          </cell>
          <cell r="L498" t="str">
            <v>un</v>
          </cell>
          <cell r="M498">
            <v>0.45941415000000008</v>
          </cell>
        </row>
        <row r="499">
          <cell r="B499">
            <v>100700035</v>
          </cell>
          <cell r="C499">
            <v>1007</v>
          </cell>
          <cell r="D499" t="str">
            <v>Shake Mix® Morango c/ Ninho 300 ml</v>
          </cell>
          <cell r="E499">
            <v>5.0469595609523816</v>
          </cell>
          <cell r="F499">
            <v>18.154530794792738</v>
          </cell>
          <cell r="G499">
            <v>20.959253283858729</v>
          </cell>
          <cell r="H499">
            <v>210400016</v>
          </cell>
          <cell r="I499" t="str">
            <v>Mescla de morango</v>
          </cell>
          <cell r="J499">
            <v>0.96608571428571421</v>
          </cell>
          <cell r="K499">
            <v>0.03</v>
          </cell>
          <cell r="L499" t="str">
            <v>kg</v>
          </cell>
          <cell r="M499">
            <v>32.202857142857141</v>
          </cell>
        </row>
        <row r="500">
          <cell r="H500">
            <v>210100001</v>
          </cell>
          <cell r="I500" t="str">
            <v>Bebida Láctea Uht (Baunilha)</v>
          </cell>
          <cell r="J500">
            <v>2.1280076999999999</v>
          </cell>
          <cell r="K500">
            <v>0.19500000000000001</v>
          </cell>
          <cell r="L500" t="str">
            <v>Lt</v>
          </cell>
          <cell r="M500">
            <v>10.91286</v>
          </cell>
        </row>
        <row r="501">
          <cell r="H501">
            <v>216000017</v>
          </cell>
          <cell r="I501" t="str">
            <v>Leite em Pó Ninho</v>
          </cell>
          <cell r="J501">
            <v>1.2378666666666669</v>
          </cell>
          <cell r="K501">
            <v>0.02</v>
          </cell>
          <cell r="L501" t="str">
            <v>Kg</v>
          </cell>
          <cell r="M501">
            <v>61.893333333333338</v>
          </cell>
        </row>
        <row r="502">
          <cell r="H502">
            <v>210200013</v>
          </cell>
          <cell r="I502" t="str">
            <v>Copo 330 Ml Shake Mix</v>
          </cell>
          <cell r="J502">
            <v>0.45941415000000008</v>
          </cell>
          <cell r="K502">
            <v>1</v>
          </cell>
          <cell r="L502" t="str">
            <v>Un</v>
          </cell>
          <cell r="M502">
            <v>0.45941415000000008</v>
          </cell>
        </row>
        <row r="503">
          <cell r="H503">
            <v>220100008</v>
          </cell>
          <cell r="I503" t="str">
            <v>Guardanapo Embalado</v>
          </cell>
          <cell r="J503">
            <v>7.1500000000000008E-2</v>
          </cell>
          <cell r="K503">
            <v>1</v>
          </cell>
          <cell r="L503" t="str">
            <v>Un</v>
          </cell>
          <cell r="M503">
            <v>7.1500000000000008E-2</v>
          </cell>
        </row>
        <row r="504">
          <cell r="H504">
            <v>210200011</v>
          </cell>
          <cell r="I504" t="str">
            <v>Colher Grande</v>
          </cell>
          <cell r="J504">
            <v>0.18408533000000002</v>
          </cell>
          <cell r="K504">
            <v>1</v>
          </cell>
          <cell r="L504" t="str">
            <v>Un</v>
          </cell>
          <cell r="M504">
            <v>0.18408533000000002</v>
          </cell>
        </row>
        <row r="505">
          <cell r="B505">
            <v>100700041</v>
          </cell>
          <cell r="C505">
            <v>1007</v>
          </cell>
          <cell r="D505" t="str">
            <v>Shake Mix® Trufado de Nutella 300 ml</v>
          </cell>
          <cell r="E505">
            <v>6.0484866085714284</v>
          </cell>
          <cell r="F505">
            <v>21.757146073997941</v>
          </cell>
          <cell r="G505">
            <v>25.018172704120705</v>
          </cell>
          <cell r="H505">
            <v>216000050</v>
          </cell>
          <cell r="I505" t="str">
            <v>Nutella</v>
          </cell>
          <cell r="J505">
            <v>2.5369079999999999</v>
          </cell>
          <cell r="K505">
            <v>3.5999999999999997E-2</v>
          </cell>
          <cell r="L505" t="str">
            <v>kg</v>
          </cell>
          <cell r="M505">
            <v>70.469666666666669</v>
          </cell>
        </row>
        <row r="506">
          <cell r="H506">
            <v>210100001</v>
          </cell>
          <cell r="I506" t="str">
            <v>Bebida Láctea Uht (Baunilha)</v>
          </cell>
          <cell r="J506">
            <v>2.1280076999999999</v>
          </cell>
          <cell r="K506">
            <v>0.19500000000000001</v>
          </cell>
          <cell r="L506" t="str">
            <v>lt</v>
          </cell>
          <cell r="M506">
            <v>10.91286</v>
          </cell>
        </row>
        <row r="507">
          <cell r="H507">
            <v>210900018</v>
          </cell>
          <cell r="I507" t="str">
            <v>Trufada Chiquinho</v>
          </cell>
          <cell r="J507">
            <v>0.66857142857142848</v>
          </cell>
          <cell r="K507">
            <v>1.4999999999999999E-2</v>
          </cell>
          <cell r="L507" t="str">
            <v>Kg</v>
          </cell>
          <cell r="M507">
            <v>44.571428571428569</v>
          </cell>
        </row>
        <row r="508">
          <cell r="H508">
            <v>220100008</v>
          </cell>
          <cell r="I508" t="str">
            <v>Guardanapo Embalado</v>
          </cell>
          <cell r="J508">
            <v>7.1500000000000008E-2</v>
          </cell>
          <cell r="K508">
            <v>1</v>
          </cell>
          <cell r="L508" t="str">
            <v>un</v>
          </cell>
          <cell r="M508">
            <v>7.1500000000000008E-2</v>
          </cell>
        </row>
        <row r="509">
          <cell r="H509">
            <v>210200013</v>
          </cell>
          <cell r="I509" t="str">
            <v>Copo 330 Ml Shake Mix</v>
          </cell>
          <cell r="J509">
            <v>0.45941415000000008</v>
          </cell>
          <cell r="K509">
            <v>1</v>
          </cell>
          <cell r="L509" t="str">
            <v>Un</v>
          </cell>
          <cell r="M509">
            <v>0.45941415000000008</v>
          </cell>
        </row>
        <row r="510">
          <cell r="H510">
            <v>210200011</v>
          </cell>
          <cell r="I510" t="str">
            <v>Colher Grande</v>
          </cell>
          <cell r="J510">
            <v>0.18408533000000002</v>
          </cell>
          <cell r="K510">
            <v>1</v>
          </cell>
          <cell r="L510" t="str">
            <v>Un</v>
          </cell>
          <cell r="M510">
            <v>0.18408533000000002</v>
          </cell>
        </row>
        <row r="511">
          <cell r="B511">
            <v>100700044</v>
          </cell>
          <cell r="C511">
            <v>1007</v>
          </cell>
          <cell r="D511" t="str">
            <v>Shake Mix®Farinha Láctea e Banana 300 ml</v>
          </cell>
          <cell r="E511">
            <v>3.5739671799999999</v>
          </cell>
          <cell r="F511">
            <v>12.855997050359711</v>
          </cell>
          <cell r="G511">
            <v>16.482957228023846</v>
          </cell>
          <cell r="H511">
            <v>216000018</v>
          </cell>
          <cell r="I511" t="str">
            <v>Banana Nanica</v>
          </cell>
          <cell r="J511">
            <v>0.27930000000000005</v>
          </cell>
          <cell r="K511">
            <v>7.0000000000000007E-2</v>
          </cell>
          <cell r="L511" t="str">
            <v>kg</v>
          </cell>
          <cell r="M511">
            <v>3.99</v>
          </cell>
        </row>
        <row r="512">
          <cell r="H512">
            <v>216000065</v>
          </cell>
          <cell r="I512" t="str">
            <v>Farinha Láctea</v>
          </cell>
          <cell r="J512">
            <v>0.45166000000000006</v>
          </cell>
          <cell r="K512">
            <v>1.2E-2</v>
          </cell>
          <cell r="L512" t="str">
            <v>Un</v>
          </cell>
          <cell r="M512">
            <v>37.638333333333335</v>
          </cell>
        </row>
        <row r="513">
          <cell r="H513">
            <v>210100001</v>
          </cell>
          <cell r="I513" t="str">
            <v>Bebida Láctea Uht (Baunilha)</v>
          </cell>
          <cell r="J513">
            <v>2.1280076999999999</v>
          </cell>
          <cell r="K513">
            <v>0.19500000000000001</v>
          </cell>
          <cell r="L513" t="str">
            <v>Lt</v>
          </cell>
          <cell r="M513">
            <v>10.91286</v>
          </cell>
        </row>
        <row r="514">
          <cell r="H514">
            <v>220100008</v>
          </cell>
          <cell r="I514" t="str">
            <v>Guardanapo Embalado</v>
          </cell>
          <cell r="J514">
            <v>7.1500000000000008E-2</v>
          </cell>
          <cell r="K514">
            <v>1</v>
          </cell>
          <cell r="L514" t="str">
            <v>Un</v>
          </cell>
          <cell r="M514">
            <v>7.1500000000000008E-2</v>
          </cell>
        </row>
        <row r="515">
          <cell r="H515">
            <v>210200013</v>
          </cell>
          <cell r="I515" t="str">
            <v>Copo 330 Ml Shake Mix</v>
          </cell>
          <cell r="J515">
            <v>0.45941415000000008</v>
          </cell>
          <cell r="K515">
            <v>1</v>
          </cell>
          <cell r="L515" t="str">
            <v>Un</v>
          </cell>
          <cell r="M515">
            <v>0.45941415000000008</v>
          </cell>
        </row>
        <row r="516">
          <cell r="H516">
            <v>210200011</v>
          </cell>
          <cell r="I516" t="str">
            <v>Colher Grande</v>
          </cell>
          <cell r="J516">
            <v>0.18408533000000002</v>
          </cell>
          <cell r="K516">
            <v>1</v>
          </cell>
          <cell r="L516" t="str">
            <v>Un</v>
          </cell>
          <cell r="M516">
            <v>0.18408533000000002</v>
          </cell>
        </row>
        <row r="517">
          <cell r="B517">
            <v>100700045</v>
          </cell>
          <cell r="C517">
            <v>1007</v>
          </cell>
          <cell r="D517" t="str">
            <v>Shake Mix® Morango Supremo 300 ml</v>
          </cell>
          <cell r="E517">
            <v>8.7177818466666679</v>
          </cell>
          <cell r="F517">
            <v>31.358927505995204</v>
          </cell>
          <cell r="G517">
            <v>34.225217014787134</v>
          </cell>
          <cell r="H517">
            <v>216000050</v>
          </cell>
          <cell r="I517" t="str">
            <v>Nutella</v>
          </cell>
          <cell r="J517">
            <v>2.5369079999999999</v>
          </cell>
          <cell r="K517">
            <v>3.5999999999999997E-2</v>
          </cell>
          <cell r="L517" t="str">
            <v>kg</v>
          </cell>
          <cell r="M517">
            <v>70.469666666666669</v>
          </cell>
        </row>
        <row r="518">
          <cell r="H518">
            <v>216000020</v>
          </cell>
          <cell r="I518" t="str">
            <v>Morango</v>
          </cell>
          <cell r="J518">
            <v>2.1</v>
          </cell>
          <cell r="K518">
            <v>0.06</v>
          </cell>
          <cell r="L518" t="str">
            <v>kg</v>
          </cell>
          <cell r="M518">
            <v>35</v>
          </cell>
        </row>
        <row r="519">
          <cell r="H519">
            <v>216000017</v>
          </cell>
          <cell r="I519" t="str">
            <v>Leite em Pó Ninho</v>
          </cell>
          <cell r="J519">
            <v>1.2378666666666669</v>
          </cell>
          <cell r="K519">
            <v>0.02</v>
          </cell>
          <cell r="L519" t="str">
            <v>kg</v>
          </cell>
          <cell r="M519">
            <v>61.893333333333338</v>
          </cell>
        </row>
        <row r="520">
          <cell r="H520">
            <v>210100007</v>
          </cell>
          <cell r="I520" t="str">
            <v>Bebida Láctea Uht Sabores</v>
          </cell>
          <cell r="J520">
            <v>2.1280076999999999</v>
          </cell>
          <cell r="K520">
            <v>0.19500000000000001</v>
          </cell>
          <cell r="L520" t="str">
            <v>Lt</v>
          </cell>
          <cell r="M520">
            <v>10.91286</v>
          </cell>
        </row>
        <row r="521">
          <cell r="H521">
            <v>220100008</v>
          </cell>
          <cell r="I521" t="str">
            <v>Guardanapo Embalado</v>
          </cell>
          <cell r="J521">
            <v>7.1500000000000008E-2</v>
          </cell>
          <cell r="K521">
            <v>1</v>
          </cell>
          <cell r="L521" t="str">
            <v>un</v>
          </cell>
          <cell r="M521">
            <v>7.1500000000000008E-2</v>
          </cell>
        </row>
        <row r="522">
          <cell r="H522">
            <v>210200013</v>
          </cell>
          <cell r="I522" t="str">
            <v>Copo 330 Ml Shake Mix</v>
          </cell>
          <cell r="J522">
            <v>0.45941415000000008</v>
          </cell>
          <cell r="K522">
            <v>1</v>
          </cell>
          <cell r="L522" t="str">
            <v>Un</v>
          </cell>
          <cell r="M522">
            <v>0.45941415000000008</v>
          </cell>
        </row>
        <row r="523">
          <cell r="H523">
            <v>210200011</v>
          </cell>
          <cell r="I523" t="str">
            <v>Colher Grande</v>
          </cell>
          <cell r="J523">
            <v>0.18408533000000002</v>
          </cell>
          <cell r="K523">
            <v>1</v>
          </cell>
          <cell r="L523" t="str">
            <v>Un</v>
          </cell>
          <cell r="M523">
            <v>0.18408533000000002</v>
          </cell>
        </row>
        <row r="524">
          <cell r="B524">
            <v>100700046</v>
          </cell>
          <cell r="C524">
            <v>1019</v>
          </cell>
          <cell r="D524" t="str">
            <v>Shake Mix® Torta de Limão 300 ml</v>
          </cell>
          <cell r="E524">
            <v>5.0724651667389997</v>
          </cell>
          <cell r="F524">
            <v>18.246277578197841</v>
          </cell>
          <cell r="G524">
            <v>21.651638895921892</v>
          </cell>
          <cell r="H524">
            <v>216000067</v>
          </cell>
          <cell r="I524" t="str">
            <v>Biscoito Maisena</v>
          </cell>
          <cell r="J524">
            <v>0.3928571428571429</v>
          </cell>
          <cell r="K524">
            <v>2.5000000000000001E-2</v>
          </cell>
          <cell r="L524" t="str">
            <v>kg</v>
          </cell>
          <cell r="M524">
            <v>15.714285714285715</v>
          </cell>
        </row>
        <row r="525">
          <cell r="H525">
            <v>216000056</v>
          </cell>
          <cell r="I525" t="str">
            <v>Limão-taiti</v>
          </cell>
          <cell r="J525">
            <v>0.2475</v>
          </cell>
          <cell r="K525">
            <v>8.2500000000000004E-2</v>
          </cell>
          <cell r="L525" t="str">
            <v>kg</v>
          </cell>
          <cell r="M525">
            <v>3</v>
          </cell>
        </row>
        <row r="526">
          <cell r="H526">
            <v>216000017</v>
          </cell>
          <cell r="I526" t="str">
            <v>Leite em Pó Ninho</v>
          </cell>
          <cell r="J526">
            <v>1.2378666666666669</v>
          </cell>
          <cell r="K526">
            <v>0.02</v>
          </cell>
          <cell r="L526" t="str">
            <v>kg</v>
          </cell>
          <cell r="M526">
            <v>61.893333333333338</v>
          </cell>
        </row>
        <row r="527">
          <cell r="H527">
            <v>216000013</v>
          </cell>
          <cell r="I527" t="str">
            <v>Leite Condensado</v>
          </cell>
          <cell r="J527">
            <v>0.3512341772151899</v>
          </cell>
          <cell r="K527">
            <v>1.2500000000000001E-2</v>
          </cell>
          <cell r="L527" t="str">
            <v>kg</v>
          </cell>
          <cell r="M527">
            <v>28.098734177215189</v>
          </cell>
        </row>
        <row r="528">
          <cell r="H528">
            <v>210100007</v>
          </cell>
          <cell r="I528" t="str">
            <v>Bebida Láctea Uht Sabores</v>
          </cell>
          <cell r="J528">
            <v>2.1280076999999999</v>
          </cell>
          <cell r="K528">
            <v>0.19500000000000001</v>
          </cell>
          <cell r="L528" t="str">
            <v>Lt</v>
          </cell>
          <cell r="M528">
            <v>10.91286</v>
          </cell>
        </row>
        <row r="529">
          <cell r="H529">
            <v>220100008</v>
          </cell>
          <cell r="I529" t="str">
            <v>Guardanapo Embalado</v>
          </cell>
          <cell r="J529">
            <v>7.1500000000000008E-2</v>
          </cell>
          <cell r="K529">
            <v>1</v>
          </cell>
          <cell r="L529" t="str">
            <v>un</v>
          </cell>
          <cell r="M529">
            <v>7.1500000000000008E-2</v>
          </cell>
        </row>
        <row r="530">
          <cell r="H530">
            <v>210200013</v>
          </cell>
          <cell r="I530" t="str">
            <v>Copo 330 Ml Shake Mix</v>
          </cell>
          <cell r="J530">
            <v>0.45941415000000008</v>
          </cell>
          <cell r="K530">
            <v>1</v>
          </cell>
          <cell r="L530" t="str">
            <v>Un</v>
          </cell>
          <cell r="M530">
            <v>0.45941415000000008</v>
          </cell>
        </row>
        <row r="531">
          <cell r="H531">
            <v>210200011</v>
          </cell>
          <cell r="I531" t="str">
            <v>Colher Grande</v>
          </cell>
          <cell r="J531">
            <v>0.18408533000000002</v>
          </cell>
          <cell r="K531">
            <v>1</v>
          </cell>
          <cell r="L531" t="str">
            <v>Un</v>
          </cell>
          <cell r="M531">
            <v>0.18408533000000002</v>
          </cell>
        </row>
        <row r="532">
          <cell r="B532">
            <v>100700047</v>
          </cell>
          <cell r="C532">
            <v>1019</v>
          </cell>
          <cell r="D532" t="str">
            <v>Shake Mix® Torta Banoffe 300 ml</v>
          </cell>
          <cell r="E532">
            <v>4.1694580728571431</v>
          </cell>
          <cell r="F532">
            <v>14.998050621788282</v>
          </cell>
          <cell r="G532">
            <v>18.536949217702141</v>
          </cell>
          <cell r="H532">
            <v>216000067</v>
          </cell>
          <cell r="I532" t="str">
            <v>Biscoito Maisena</v>
          </cell>
          <cell r="J532">
            <v>0.3928571428571429</v>
          </cell>
          <cell r="K532">
            <v>2.5000000000000001E-2</v>
          </cell>
          <cell r="L532" t="str">
            <v>kg</v>
          </cell>
          <cell r="M532">
            <v>15.714285714285715</v>
          </cell>
        </row>
        <row r="533">
          <cell r="H533">
            <v>216000018</v>
          </cell>
          <cell r="I533" t="str">
            <v>Banana Nanica</v>
          </cell>
          <cell r="J533">
            <v>0.27930000000000005</v>
          </cell>
          <cell r="K533">
            <v>7.0000000000000007E-2</v>
          </cell>
          <cell r="L533" t="str">
            <v>kg</v>
          </cell>
          <cell r="M533">
            <v>3.99</v>
          </cell>
        </row>
        <row r="534">
          <cell r="H534">
            <v>216000015</v>
          </cell>
          <cell r="I534" t="str">
            <v>Doce de Leite</v>
          </cell>
          <cell r="J534">
            <v>0.65429375000000001</v>
          </cell>
          <cell r="K534">
            <v>0.03</v>
          </cell>
          <cell r="L534" t="str">
            <v>kg</v>
          </cell>
          <cell r="M534">
            <v>21.809791666666669</v>
          </cell>
        </row>
        <row r="535">
          <cell r="H535">
            <v>210100007</v>
          </cell>
          <cell r="I535" t="str">
            <v>Bebida Láctea Uht Sabores</v>
          </cell>
          <cell r="J535">
            <v>2.1280076999999999</v>
          </cell>
          <cell r="K535">
            <v>0.19500000000000001</v>
          </cell>
          <cell r="L535" t="str">
            <v>Lt</v>
          </cell>
          <cell r="M535">
            <v>10.91286</v>
          </cell>
        </row>
        <row r="536">
          <cell r="H536">
            <v>220100008</v>
          </cell>
          <cell r="I536" t="str">
            <v>Guardanapo Embalado</v>
          </cell>
          <cell r="J536">
            <v>7.1500000000000008E-2</v>
          </cell>
          <cell r="K536">
            <v>1</v>
          </cell>
          <cell r="L536" t="str">
            <v>un</v>
          </cell>
          <cell r="M536">
            <v>7.1500000000000008E-2</v>
          </cell>
        </row>
        <row r="537">
          <cell r="H537">
            <v>210200013</v>
          </cell>
          <cell r="I537" t="str">
            <v>Copo 330 Ml Shake Mix</v>
          </cell>
          <cell r="J537">
            <v>0.45941415000000008</v>
          </cell>
          <cell r="K537">
            <v>1</v>
          </cell>
          <cell r="L537" t="str">
            <v>Un</v>
          </cell>
          <cell r="M537">
            <v>0.45941415000000008</v>
          </cell>
        </row>
        <row r="538">
          <cell r="H538">
            <v>210200011</v>
          </cell>
          <cell r="I538" t="str">
            <v>Colher Grande</v>
          </cell>
          <cell r="J538">
            <v>0.18408533000000002</v>
          </cell>
          <cell r="K538">
            <v>1</v>
          </cell>
          <cell r="L538" t="str">
            <v>Un</v>
          </cell>
          <cell r="M538">
            <v>0.18408533000000002</v>
          </cell>
        </row>
        <row r="539">
          <cell r="B539">
            <v>100700048</v>
          </cell>
          <cell r="C539">
            <v>1021</v>
          </cell>
          <cell r="D539" t="str">
            <v>Shake Mix® Pistache 300 ml</v>
          </cell>
          <cell r="E539">
            <v>9.3322662550000004</v>
          </cell>
          <cell r="F539">
            <v>33.569303075539565</v>
          </cell>
          <cell r="G539">
            <v>36.344722229120705</v>
          </cell>
          <cell r="H539">
            <v>216000068</v>
          </cell>
          <cell r="I539" t="str">
            <v>Crempistache</v>
          </cell>
          <cell r="J539">
            <v>6.5122200000000001</v>
          </cell>
          <cell r="K539">
            <v>4.4999999999999998E-2</v>
          </cell>
          <cell r="L539" t="str">
            <v>kg</v>
          </cell>
          <cell r="M539">
            <v>144.71600000000001</v>
          </cell>
        </row>
        <row r="540">
          <cell r="H540">
            <v>210100007</v>
          </cell>
          <cell r="I540" t="str">
            <v>Bebida Láctea Uht Sabores</v>
          </cell>
          <cell r="J540">
            <v>2.1280076999999999</v>
          </cell>
          <cell r="K540">
            <v>0.19500000000000001</v>
          </cell>
          <cell r="L540" t="str">
            <v>Lt</v>
          </cell>
          <cell r="M540">
            <v>10.91286</v>
          </cell>
        </row>
        <row r="541">
          <cell r="H541">
            <v>220100008</v>
          </cell>
          <cell r="I541" t="str">
            <v>Guardanapo Embalado</v>
          </cell>
          <cell r="J541">
            <v>7.1500000000000008E-2</v>
          </cell>
          <cell r="K541">
            <v>1</v>
          </cell>
          <cell r="L541" t="str">
            <v>un</v>
          </cell>
          <cell r="M541">
            <v>7.1500000000000008E-2</v>
          </cell>
        </row>
        <row r="542">
          <cell r="H542">
            <v>210200051</v>
          </cell>
          <cell r="I542" t="str">
            <v>Copo 220 ml Poli Papel</v>
          </cell>
          <cell r="J542">
            <v>0.436453225</v>
          </cell>
          <cell r="K542">
            <v>1</v>
          </cell>
          <cell r="L542" t="str">
            <v>Un</v>
          </cell>
          <cell r="M542">
            <v>0.436453225</v>
          </cell>
        </row>
        <row r="543">
          <cell r="H543">
            <v>210200011</v>
          </cell>
          <cell r="I543" t="str">
            <v>Colher Grande</v>
          </cell>
          <cell r="J543">
            <v>0.18408533000000002</v>
          </cell>
          <cell r="K543">
            <v>1</v>
          </cell>
          <cell r="L543" t="str">
            <v>Un</v>
          </cell>
          <cell r="M543">
            <v>0.18408533000000002</v>
          </cell>
        </row>
        <row r="544">
          <cell r="B544">
            <v>100700049</v>
          </cell>
          <cell r="C544">
            <v>1032</v>
          </cell>
          <cell r="D544" t="str">
            <v>Shake Mix® Amarena &amp; Calda Trufada 300 ml</v>
          </cell>
          <cell r="E544">
            <v>7.2676500371428574</v>
          </cell>
          <cell r="F544">
            <v>26.142626032887975</v>
          </cell>
          <cell r="G544">
            <v>29.223361979777984</v>
          </cell>
          <cell r="H544">
            <v>210100007</v>
          </cell>
          <cell r="I544" t="str">
            <v>Bebida Láctea Uht Sabores</v>
          </cell>
          <cell r="J544">
            <v>2.1280076999999999</v>
          </cell>
          <cell r="K544">
            <v>0.19500000000000001</v>
          </cell>
          <cell r="L544" t="str">
            <v>Kg</v>
          </cell>
          <cell r="M544">
            <v>10.91286</v>
          </cell>
        </row>
        <row r="545">
          <cell r="H545">
            <v>216000078</v>
          </cell>
          <cell r="I545" t="str">
            <v>Variegato Amarena Rubino</v>
          </cell>
          <cell r="J545">
            <v>3.0875000000000004</v>
          </cell>
          <cell r="K545">
            <v>2.5000000000000001E-2</v>
          </cell>
          <cell r="L545" t="str">
            <v>Kg</v>
          </cell>
          <cell r="M545">
            <v>123.5</v>
          </cell>
        </row>
        <row r="546">
          <cell r="H546">
            <v>210900018</v>
          </cell>
          <cell r="I546" t="str">
            <v>Trufada Chiquinho</v>
          </cell>
          <cell r="J546">
            <v>1.337142857142857</v>
          </cell>
          <cell r="K546">
            <v>0.03</v>
          </cell>
          <cell r="L546" t="str">
            <v>kg</v>
          </cell>
          <cell r="M546">
            <v>44.571428571428569</v>
          </cell>
        </row>
        <row r="547">
          <cell r="H547">
            <v>220100008</v>
          </cell>
          <cell r="I547" t="str">
            <v>Guardanapo Embalado</v>
          </cell>
          <cell r="J547">
            <v>7.1500000000000008E-2</v>
          </cell>
          <cell r="K547">
            <v>1</v>
          </cell>
          <cell r="L547" t="str">
            <v>Un</v>
          </cell>
          <cell r="M547">
            <v>7.1500000000000008E-2</v>
          </cell>
        </row>
        <row r="548">
          <cell r="H548">
            <v>210200011</v>
          </cell>
          <cell r="I548" t="str">
            <v>Colher Grande</v>
          </cell>
          <cell r="J548">
            <v>0.18408533000000002</v>
          </cell>
          <cell r="K548">
            <v>1</v>
          </cell>
          <cell r="L548" t="str">
            <v>Un</v>
          </cell>
          <cell r="M548">
            <v>0.18408533000000002</v>
          </cell>
        </row>
        <row r="549">
          <cell r="H549">
            <v>210200013</v>
          </cell>
          <cell r="I549" t="str">
            <v>Copo 330 Ml Shake Mix</v>
          </cell>
          <cell r="J549">
            <v>0.45941415000000008</v>
          </cell>
          <cell r="K549">
            <v>1</v>
          </cell>
          <cell r="L549" t="str">
            <v>Un</v>
          </cell>
          <cell r="M549">
            <v>0.45941415000000008</v>
          </cell>
        </row>
        <row r="550">
          <cell r="B550">
            <v>100700050</v>
          </cell>
          <cell r="C550">
            <v>1032</v>
          </cell>
          <cell r="D550" t="str">
            <v>Shake Mix® Puro Leite 300 ml</v>
          </cell>
          <cell r="E550">
            <v>4.9388738466666675</v>
          </cell>
          <cell r="F550">
            <v>17.765733261390888</v>
          </cell>
          <cell r="G550">
            <v>21.190850150685876</v>
          </cell>
          <cell r="H550">
            <v>210100007</v>
          </cell>
          <cell r="I550" t="str">
            <v>Bebida Láctea Uht Sabores</v>
          </cell>
          <cell r="J550">
            <v>2.1280076999999999</v>
          </cell>
          <cell r="K550">
            <v>0.19500000000000001</v>
          </cell>
          <cell r="L550" t="str">
            <v>Kg</v>
          </cell>
          <cell r="M550">
            <v>10.91286</v>
          </cell>
        </row>
        <row r="551">
          <cell r="H551">
            <v>216000077</v>
          </cell>
          <cell r="I551" t="str">
            <v>Caribe Leitinho</v>
          </cell>
          <cell r="J551">
            <v>0.85799999999999987</v>
          </cell>
          <cell r="K551">
            <v>0.03</v>
          </cell>
          <cell r="L551" t="str">
            <v>Kg</v>
          </cell>
          <cell r="M551">
            <v>28.599999999999998</v>
          </cell>
        </row>
        <row r="552">
          <cell r="H552">
            <v>216000017</v>
          </cell>
          <cell r="I552" t="str">
            <v>Leite em Pó Ninho</v>
          </cell>
          <cell r="J552">
            <v>1.2378666666666669</v>
          </cell>
          <cell r="K552">
            <v>0.02</v>
          </cell>
          <cell r="L552" t="str">
            <v>kg</v>
          </cell>
          <cell r="M552">
            <v>61.893333333333338</v>
          </cell>
        </row>
        <row r="553">
          <cell r="H553">
            <v>220100008</v>
          </cell>
          <cell r="I553" t="str">
            <v>Guardanapo Embalado</v>
          </cell>
          <cell r="J553">
            <v>7.1500000000000008E-2</v>
          </cell>
          <cell r="K553">
            <v>1</v>
          </cell>
          <cell r="L553" t="str">
            <v>Un</v>
          </cell>
          <cell r="M553">
            <v>7.1500000000000008E-2</v>
          </cell>
        </row>
        <row r="554">
          <cell r="H554">
            <v>210200011</v>
          </cell>
          <cell r="I554" t="str">
            <v>Colher Grande</v>
          </cell>
          <cell r="J554">
            <v>0.18408533000000002</v>
          </cell>
          <cell r="K554">
            <v>1</v>
          </cell>
          <cell r="L554" t="str">
            <v>Un</v>
          </cell>
          <cell r="M554">
            <v>0.18408533000000002</v>
          </cell>
        </row>
        <row r="555">
          <cell r="H555">
            <v>210200013</v>
          </cell>
          <cell r="I555" t="str">
            <v>Copo 330 Ml Shake Mix</v>
          </cell>
          <cell r="J555">
            <v>0.45941415000000008</v>
          </cell>
          <cell r="K555">
            <v>1</v>
          </cell>
          <cell r="L555" t="str">
            <v>Un</v>
          </cell>
          <cell r="M555">
            <v>0.45941415000000008</v>
          </cell>
        </row>
        <row r="556">
          <cell r="B556">
            <v>100700051</v>
          </cell>
          <cell r="C556">
            <v>1032</v>
          </cell>
          <cell r="D556" t="str">
            <v>Shake Mix® Beijinho com Coco Malásia 300 ml</v>
          </cell>
          <cell r="E556">
            <v>6.2997071800000004</v>
          </cell>
          <cell r="F556">
            <v>22.660817194244604</v>
          </cell>
          <cell r="G556">
            <v>25.884693162361327</v>
          </cell>
          <cell r="H556">
            <v>210100007</v>
          </cell>
          <cell r="I556" t="str">
            <v>Bebida Láctea Uht Sabores</v>
          </cell>
          <cell r="J556">
            <v>2.1280076999999999</v>
          </cell>
          <cell r="K556">
            <v>0.19500000000000001</v>
          </cell>
          <cell r="L556" t="str">
            <v>Kg</v>
          </cell>
          <cell r="M556">
            <v>10.91286</v>
          </cell>
        </row>
        <row r="557">
          <cell r="H557">
            <v>216000077</v>
          </cell>
          <cell r="I557" t="str">
            <v>Caribe Leitinho</v>
          </cell>
          <cell r="J557">
            <v>0.85799999999999987</v>
          </cell>
          <cell r="K557">
            <v>0.03</v>
          </cell>
          <cell r="L557" t="str">
            <v>Kg</v>
          </cell>
          <cell r="M557">
            <v>28.599999999999998</v>
          </cell>
        </row>
        <row r="558">
          <cell r="H558">
            <v>216000079</v>
          </cell>
          <cell r="I558" t="str">
            <v>Creme Coco Malasia</v>
          </cell>
          <cell r="J558">
            <v>2.5987</v>
          </cell>
          <cell r="K558">
            <v>0.03</v>
          </cell>
          <cell r="L558" t="str">
            <v>kg</v>
          </cell>
          <cell r="M558">
            <v>86.623333333333335</v>
          </cell>
        </row>
        <row r="559">
          <cell r="H559">
            <v>220100008</v>
          </cell>
          <cell r="I559" t="str">
            <v>Guardanapo Embalado</v>
          </cell>
          <cell r="J559">
            <v>7.1500000000000008E-2</v>
          </cell>
          <cell r="K559">
            <v>1</v>
          </cell>
          <cell r="L559" t="str">
            <v>Un</v>
          </cell>
          <cell r="M559">
            <v>7.1500000000000008E-2</v>
          </cell>
        </row>
        <row r="560">
          <cell r="H560">
            <v>210200011</v>
          </cell>
          <cell r="I560" t="str">
            <v>Colher Grande</v>
          </cell>
          <cell r="J560">
            <v>0.18408533000000002</v>
          </cell>
          <cell r="K560">
            <v>1</v>
          </cell>
          <cell r="L560" t="str">
            <v>Un</v>
          </cell>
          <cell r="M560">
            <v>0.18408533000000002</v>
          </cell>
        </row>
        <row r="561">
          <cell r="H561">
            <v>210200013</v>
          </cell>
          <cell r="I561" t="str">
            <v>Copo 330 Ml Shake Mix</v>
          </cell>
          <cell r="J561">
            <v>0.45941415000000008</v>
          </cell>
          <cell r="K561">
            <v>1</v>
          </cell>
          <cell r="L561" t="str">
            <v>Un</v>
          </cell>
          <cell r="M561">
            <v>0.45941415000000008</v>
          </cell>
        </row>
        <row r="562">
          <cell r="B562">
            <v>100700052</v>
          </cell>
          <cell r="C562">
            <v>1019</v>
          </cell>
          <cell r="D562" t="str">
            <v>Shake Mix® Morango com Fini 300 ml</v>
          </cell>
          <cell r="E562">
            <v>4.7341488942857142</v>
          </cell>
          <cell r="F562">
            <v>17.029312569373072</v>
          </cell>
          <cell r="G562">
            <v>20.484704318194321</v>
          </cell>
          <cell r="H562">
            <v>210100001</v>
          </cell>
          <cell r="I562" t="str">
            <v>Bebida Láctea Uht (Baunilha)</v>
          </cell>
          <cell r="J562">
            <v>2.1280076999999999</v>
          </cell>
          <cell r="K562">
            <v>0.19500000000000001</v>
          </cell>
          <cell r="L562" t="str">
            <v>Lt</v>
          </cell>
          <cell r="M562">
            <v>10.91286</v>
          </cell>
        </row>
        <row r="563">
          <cell r="H563">
            <v>210400016</v>
          </cell>
          <cell r="I563" t="str">
            <v>Mescla de Morango</v>
          </cell>
          <cell r="J563">
            <v>0.96608571428571421</v>
          </cell>
          <cell r="K563">
            <v>0.03</v>
          </cell>
          <cell r="L563" t="str">
            <v>Kg</v>
          </cell>
          <cell r="M563">
            <v>32.202857142857141</v>
          </cell>
        </row>
        <row r="564">
          <cell r="H564">
            <v>210200011</v>
          </cell>
          <cell r="I564" t="str">
            <v>Colher Grande</v>
          </cell>
          <cell r="J564">
            <v>0.18408533000000002</v>
          </cell>
          <cell r="K564">
            <v>1</v>
          </cell>
          <cell r="L564" t="str">
            <v>Un</v>
          </cell>
          <cell r="M564">
            <v>0.18408533000000002</v>
          </cell>
        </row>
        <row r="565">
          <cell r="H565">
            <v>216000035</v>
          </cell>
          <cell r="I565" t="str">
            <v>Marsh Torcao FINI</v>
          </cell>
          <cell r="J565">
            <v>0.92505599999999999</v>
          </cell>
          <cell r="K565">
            <v>2.4E-2</v>
          </cell>
          <cell r="L565" t="str">
            <v>Kg</v>
          </cell>
          <cell r="M565">
            <v>38.543999999999997</v>
          </cell>
        </row>
        <row r="566">
          <cell r="H566">
            <v>220100008</v>
          </cell>
          <cell r="I566" t="str">
            <v>Guardanapo Embalado</v>
          </cell>
          <cell r="J566">
            <v>7.1500000000000008E-2</v>
          </cell>
          <cell r="K566">
            <v>1</v>
          </cell>
          <cell r="L566" t="str">
            <v>Un</v>
          </cell>
          <cell r="M566">
            <v>7.1500000000000008E-2</v>
          </cell>
        </row>
        <row r="567">
          <cell r="H567">
            <v>210200013</v>
          </cell>
          <cell r="I567" t="str">
            <v>Copo 330 Ml Shake Mix</v>
          </cell>
          <cell r="J567">
            <v>0.45941415000000008</v>
          </cell>
          <cell r="K567">
            <v>1</v>
          </cell>
          <cell r="L567" t="str">
            <v>Un</v>
          </cell>
          <cell r="M567">
            <v>0.45941415000000008</v>
          </cell>
        </row>
        <row r="568">
          <cell r="B568">
            <v>100700053</v>
          </cell>
          <cell r="C568">
            <v>1021</v>
          </cell>
          <cell r="D568" t="str">
            <v>Shake Mix® Nutella com Fini 300 ml</v>
          </cell>
          <cell r="E568">
            <v>5.040882324</v>
          </cell>
          <cell r="F568">
            <v>18.132670230215826</v>
          </cell>
          <cell r="G568">
            <v>21.542702039329637</v>
          </cell>
          <cell r="H568">
            <v>210100001</v>
          </cell>
          <cell r="I568" t="str">
            <v>Bebida Láctea Uht (Baunilha)</v>
          </cell>
          <cell r="J568">
            <v>1.0661864219999999</v>
          </cell>
          <cell r="K568">
            <v>9.7699999999999995E-2</v>
          </cell>
          <cell r="L568" t="str">
            <v>Lt</v>
          </cell>
          <cell r="M568">
            <v>10.91286</v>
          </cell>
        </row>
        <row r="569">
          <cell r="H569">
            <v>210100002</v>
          </cell>
          <cell r="I569" t="str">
            <v>Bebida Láctea Uht (Chocolate)</v>
          </cell>
          <cell r="J569">
            <v>1.0661864219999999</v>
          </cell>
          <cell r="K569">
            <v>9.7699999999999995E-2</v>
          </cell>
          <cell r="L569" t="str">
            <v>Lt</v>
          </cell>
          <cell r="M569">
            <v>10.91286</v>
          </cell>
        </row>
        <row r="570">
          <cell r="H570">
            <v>210200011</v>
          </cell>
          <cell r="I570" t="str">
            <v>Colher Grande</v>
          </cell>
          <cell r="J570">
            <v>0.18408533000000002</v>
          </cell>
          <cell r="K570">
            <v>1</v>
          </cell>
          <cell r="L570" t="str">
            <v>Un</v>
          </cell>
          <cell r="M570">
            <v>0.18408533000000002</v>
          </cell>
        </row>
        <row r="571">
          <cell r="H571">
            <v>216000035</v>
          </cell>
          <cell r="I571" t="str">
            <v>Marsh Torcao FINI</v>
          </cell>
          <cell r="J571">
            <v>0.92505599999999999</v>
          </cell>
          <cell r="K571">
            <v>2.4E-2</v>
          </cell>
          <cell r="L571" t="str">
            <v>Kg</v>
          </cell>
          <cell r="M571">
            <v>38.543999999999997</v>
          </cell>
        </row>
        <row r="572">
          <cell r="H572">
            <v>210200013</v>
          </cell>
          <cell r="I572" t="str">
            <v>Copo 330 Ml Shake Mix</v>
          </cell>
          <cell r="J572">
            <v>0.45941415000000008</v>
          </cell>
          <cell r="K572">
            <v>1</v>
          </cell>
          <cell r="L572" t="str">
            <v>Un</v>
          </cell>
          <cell r="M572">
            <v>0.45941415000000008</v>
          </cell>
        </row>
        <row r="573">
          <cell r="H573">
            <v>220100008</v>
          </cell>
          <cell r="I573" t="str">
            <v>Guardanapo Embalado</v>
          </cell>
          <cell r="J573">
            <v>7.1500000000000008E-2</v>
          </cell>
          <cell r="K573">
            <v>1</v>
          </cell>
          <cell r="L573" t="str">
            <v>Un</v>
          </cell>
          <cell r="M573">
            <v>7.1500000000000008E-2</v>
          </cell>
        </row>
        <row r="574">
          <cell r="H574">
            <v>216000050</v>
          </cell>
          <cell r="I574" t="str">
            <v>Nutella</v>
          </cell>
          <cell r="J574">
            <v>1.268454</v>
          </cell>
          <cell r="K574">
            <v>1.7999999999999999E-2</v>
          </cell>
          <cell r="L574" t="str">
            <v>Kg</v>
          </cell>
          <cell r="M574">
            <v>70.469666666666669</v>
          </cell>
        </row>
        <row r="575">
          <cell r="B575">
            <v>101900001</v>
          </cell>
          <cell r="C575">
            <v>1019</v>
          </cell>
          <cell r="D575" t="str">
            <v>Shake Mix® Morango com Fini 200 ml</v>
          </cell>
          <cell r="E575">
            <v>3.8688038092857142</v>
          </cell>
          <cell r="F575">
            <v>13.916560465056525</v>
          </cell>
          <cell r="G575">
            <v>17.4999200096224</v>
          </cell>
          <cell r="H575">
            <v>210100001</v>
          </cell>
          <cell r="I575" t="str">
            <v>Bebida Láctea Uht (Baunilha)</v>
          </cell>
          <cell r="J575">
            <v>1.5168875400000001</v>
          </cell>
          <cell r="K575">
            <v>0.13900000000000001</v>
          </cell>
          <cell r="L575" t="str">
            <v>Lt</v>
          </cell>
          <cell r="M575">
            <v>10.91286</v>
          </cell>
        </row>
        <row r="576">
          <cell r="H576">
            <v>210400016</v>
          </cell>
          <cell r="I576" t="str">
            <v>Mescla de Morango</v>
          </cell>
          <cell r="J576">
            <v>0.96608571428571421</v>
          </cell>
          <cell r="K576">
            <v>0.03</v>
          </cell>
          <cell r="L576" t="str">
            <v>Kg</v>
          </cell>
          <cell r="M576">
            <v>32.202857142857141</v>
          </cell>
        </row>
        <row r="577">
          <cell r="H577">
            <v>210200011</v>
          </cell>
          <cell r="I577" t="str">
            <v>Colher Grande</v>
          </cell>
          <cell r="J577">
            <v>0.18408533000000002</v>
          </cell>
          <cell r="K577">
            <v>1</v>
          </cell>
          <cell r="L577" t="str">
            <v>Un</v>
          </cell>
          <cell r="M577">
            <v>0.18408533000000002</v>
          </cell>
        </row>
        <row r="578">
          <cell r="H578">
            <v>216000035</v>
          </cell>
          <cell r="I578" t="str">
            <v>Marsh Torcao FINI</v>
          </cell>
          <cell r="J578">
            <v>0.69379199999999985</v>
          </cell>
          <cell r="K578">
            <v>1.7999999999999999E-2</v>
          </cell>
          <cell r="L578" t="str">
            <v>Kg</v>
          </cell>
          <cell r="M578">
            <v>38.543999999999997</v>
          </cell>
        </row>
        <row r="579">
          <cell r="H579">
            <v>220100008</v>
          </cell>
          <cell r="I579" t="str">
            <v>Guardanapo Embalado</v>
          </cell>
          <cell r="J579">
            <v>7.1500000000000008E-2</v>
          </cell>
          <cell r="K579">
            <v>1</v>
          </cell>
          <cell r="L579" t="str">
            <v>Un</v>
          </cell>
          <cell r="M579">
            <v>7.1500000000000008E-2</v>
          </cell>
        </row>
        <row r="580">
          <cell r="H580">
            <v>210200051</v>
          </cell>
          <cell r="I580" t="str">
            <v>Copo 220 ml Poli Papel</v>
          </cell>
          <cell r="J580">
            <v>0.436453225</v>
          </cell>
          <cell r="K580">
            <v>1</v>
          </cell>
          <cell r="L580" t="str">
            <v>Un</v>
          </cell>
          <cell r="M580">
            <v>0.436453225</v>
          </cell>
        </row>
        <row r="581">
          <cell r="B581">
            <v>102100001</v>
          </cell>
          <cell r="C581">
            <v>1021</v>
          </cell>
          <cell r="D581" t="str">
            <v>Shake Mix® Nutella com Fini 200 ml</v>
          </cell>
          <cell r="E581">
            <v>4.1711720950000002</v>
          </cell>
          <cell r="F581">
            <v>15.004216169064748</v>
          </cell>
          <cell r="G581">
            <v>18.542861294265844</v>
          </cell>
          <cell r="H581">
            <v>210100001</v>
          </cell>
          <cell r="I581" t="str">
            <v>Bebida Láctea Uht (Baunilha)</v>
          </cell>
          <cell r="J581">
            <v>0.75844377000000007</v>
          </cell>
          <cell r="K581">
            <v>6.9500000000000006E-2</v>
          </cell>
          <cell r="L581" t="str">
            <v>Lt</v>
          </cell>
          <cell r="M581">
            <v>10.91286</v>
          </cell>
        </row>
        <row r="582">
          <cell r="H582">
            <v>210100002</v>
          </cell>
          <cell r="I582" t="str">
            <v>Bebida Láctea Uht (Chocolate)</v>
          </cell>
          <cell r="J582">
            <v>0.75844377000000007</v>
          </cell>
          <cell r="K582">
            <v>6.9500000000000006E-2</v>
          </cell>
          <cell r="L582" t="str">
            <v>Lt</v>
          </cell>
          <cell r="M582">
            <v>10.91286</v>
          </cell>
        </row>
        <row r="583">
          <cell r="H583">
            <v>210200011</v>
          </cell>
          <cell r="I583" t="str">
            <v>Colher Grande</v>
          </cell>
          <cell r="J583">
            <v>0.18408533000000002</v>
          </cell>
          <cell r="K583">
            <v>1</v>
          </cell>
          <cell r="L583" t="str">
            <v>Un</v>
          </cell>
          <cell r="M583">
            <v>0.18408533000000002</v>
          </cell>
        </row>
        <row r="584">
          <cell r="H584">
            <v>216000035</v>
          </cell>
          <cell r="I584" t="str">
            <v>Marsh Torcao FINI</v>
          </cell>
          <cell r="J584">
            <v>0.69379199999999985</v>
          </cell>
          <cell r="K584">
            <v>1.7999999999999999E-2</v>
          </cell>
          <cell r="L584" t="str">
            <v>Kg</v>
          </cell>
          <cell r="M584">
            <v>38.543999999999997</v>
          </cell>
        </row>
        <row r="585">
          <cell r="H585">
            <v>210200051</v>
          </cell>
          <cell r="I585" t="str">
            <v>Copo 220 ml Poli Papel</v>
          </cell>
          <cell r="J585">
            <v>0.436453225</v>
          </cell>
          <cell r="K585">
            <v>1</v>
          </cell>
          <cell r="L585" t="str">
            <v>Un</v>
          </cell>
          <cell r="M585">
            <v>0.436453225</v>
          </cell>
        </row>
        <row r="586">
          <cell r="H586">
            <v>220100008</v>
          </cell>
          <cell r="I586" t="str">
            <v>Guardanapo Embalado</v>
          </cell>
          <cell r="J586">
            <v>7.1500000000000008E-2</v>
          </cell>
          <cell r="K586">
            <v>1</v>
          </cell>
          <cell r="L586" t="str">
            <v>Un</v>
          </cell>
          <cell r="M586">
            <v>7.1500000000000008E-2</v>
          </cell>
        </row>
        <row r="587">
          <cell r="H587">
            <v>216000050</v>
          </cell>
          <cell r="I587" t="str">
            <v>Nutella</v>
          </cell>
          <cell r="J587">
            <v>1.268454</v>
          </cell>
          <cell r="K587">
            <v>1.7999999999999999E-2</v>
          </cell>
          <cell r="L587" t="str">
            <v>Kg</v>
          </cell>
          <cell r="M587">
            <v>70.469666666666669</v>
          </cell>
        </row>
        <row r="588">
          <cell r="B588">
            <v>101900002</v>
          </cell>
          <cell r="C588">
            <v>1019</v>
          </cell>
          <cell r="D588" t="str">
            <v>Shake Mix® Chocomenta com Negresco 200 ml</v>
          </cell>
          <cell r="E588">
            <v>3.8525522061111115</v>
          </cell>
          <cell r="F588">
            <v>13.858101460831335</v>
          </cell>
          <cell r="G588">
            <v>17.44386430307766</v>
          </cell>
          <cell r="H588">
            <v>216000019</v>
          </cell>
          <cell r="I588" t="str">
            <v>Biscoito Negresco</v>
          </cell>
          <cell r="J588">
            <v>0.62111111111111117</v>
          </cell>
          <cell r="K588">
            <v>0.02</v>
          </cell>
          <cell r="L588" t="str">
            <v>Kg</v>
          </cell>
          <cell r="M588">
            <v>31.055555555555557</v>
          </cell>
        </row>
        <row r="589">
          <cell r="H589">
            <v>210100001</v>
          </cell>
          <cell r="I589" t="str">
            <v>Bebida Láctea Uht (Baunilha)</v>
          </cell>
          <cell r="J589">
            <v>1.5168875400000001</v>
          </cell>
          <cell r="K589">
            <v>0.13900000000000001</v>
          </cell>
          <cell r="L589" t="str">
            <v>Lt</v>
          </cell>
          <cell r="M589">
            <v>10.91286</v>
          </cell>
        </row>
        <row r="590">
          <cell r="H590">
            <v>210900005</v>
          </cell>
          <cell r="I590" t="str">
            <v>Stracciatella Meio Amarga</v>
          </cell>
          <cell r="J590">
            <v>0.61691499999999999</v>
          </cell>
          <cell r="K590">
            <v>0.02</v>
          </cell>
          <cell r="L590" t="str">
            <v>Kg</v>
          </cell>
          <cell r="M590">
            <v>30.845749999999999</v>
          </cell>
        </row>
        <row r="591">
          <cell r="H591">
            <v>216000032</v>
          </cell>
          <cell r="I591" t="str">
            <v>Creme de Menta</v>
          </cell>
          <cell r="J591">
            <v>0.40559999999999996</v>
          </cell>
          <cell r="K591">
            <v>6.0000000000000001E-3</v>
          </cell>
          <cell r="L591" t="str">
            <v>Kg</v>
          </cell>
          <cell r="M591">
            <v>67.599999999999994</v>
          </cell>
        </row>
        <row r="592">
          <cell r="H592">
            <v>210200011</v>
          </cell>
          <cell r="I592" t="str">
            <v>Colher Grande</v>
          </cell>
          <cell r="J592">
            <v>0.18408533000000002</v>
          </cell>
          <cell r="K592">
            <v>1</v>
          </cell>
          <cell r="L592" t="str">
            <v>Un</v>
          </cell>
          <cell r="M592">
            <v>0.18408533000000002</v>
          </cell>
        </row>
        <row r="593">
          <cell r="H593">
            <v>220100008</v>
          </cell>
          <cell r="I593" t="str">
            <v>Guardanapo Embalado</v>
          </cell>
          <cell r="J593">
            <v>7.1500000000000008E-2</v>
          </cell>
          <cell r="K593">
            <v>1</v>
          </cell>
          <cell r="L593" t="str">
            <v>Un</v>
          </cell>
          <cell r="M593">
            <v>7.1500000000000008E-2</v>
          </cell>
        </row>
        <row r="594">
          <cell r="H594">
            <v>210200051</v>
          </cell>
          <cell r="I594" t="str">
            <v>Copo 220 ml Poli Papel</v>
          </cell>
          <cell r="J594">
            <v>0.436453225</v>
          </cell>
          <cell r="K594">
            <v>1</v>
          </cell>
          <cell r="L594" t="str">
            <v>Un</v>
          </cell>
          <cell r="M594">
            <v>0.436453225</v>
          </cell>
        </row>
        <row r="595">
          <cell r="B595">
            <v>101900003</v>
          </cell>
          <cell r="C595">
            <v>1019</v>
          </cell>
          <cell r="D595" t="str">
            <v>Shake Mix® Doce de Leite com Negresco 200 ml</v>
          </cell>
          <cell r="E595">
            <v>3.1571840811111112</v>
          </cell>
          <cell r="F595">
            <v>11.356777270183851</v>
          </cell>
          <cell r="G595">
            <v>15.045371604432384</v>
          </cell>
          <cell r="H595">
            <v>210100001</v>
          </cell>
          <cell r="I595" t="str">
            <v>Bebida Láctea Uht (Baunilha)</v>
          </cell>
          <cell r="J595">
            <v>1.5168875400000001</v>
          </cell>
          <cell r="K595">
            <v>0.13900000000000001</v>
          </cell>
          <cell r="L595" t="str">
            <v>Lt</v>
          </cell>
          <cell r="M595">
            <v>10.91286</v>
          </cell>
        </row>
        <row r="596">
          <cell r="H596">
            <v>216000019</v>
          </cell>
          <cell r="I596" t="str">
            <v>Biscoito Negresco</v>
          </cell>
          <cell r="J596">
            <v>0.62111111111111117</v>
          </cell>
          <cell r="K596">
            <v>0.02</v>
          </cell>
          <cell r="L596" t="str">
            <v>Kg</v>
          </cell>
          <cell r="M596">
            <v>31.055555555555557</v>
          </cell>
        </row>
        <row r="597">
          <cell r="H597">
            <v>216000015</v>
          </cell>
          <cell r="I597" t="str">
            <v>Doce de Leite</v>
          </cell>
          <cell r="J597">
            <v>0.327146875</v>
          </cell>
          <cell r="K597">
            <v>1.4999999999999999E-2</v>
          </cell>
          <cell r="L597" t="str">
            <v>Kg</v>
          </cell>
          <cell r="M597">
            <v>21.809791666666669</v>
          </cell>
        </row>
        <row r="598">
          <cell r="H598">
            <v>220100008</v>
          </cell>
          <cell r="I598" t="str">
            <v>Guardanapo Embalado</v>
          </cell>
          <cell r="J598">
            <v>7.1500000000000008E-2</v>
          </cell>
          <cell r="K598">
            <v>1</v>
          </cell>
          <cell r="L598" t="str">
            <v>Un</v>
          </cell>
          <cell r="M598">
            <v>7.1500000000000008E-2</v>
          </cell>
        </row>
        <row r="599">
          <cell r="H599">
            <v>210200051</v>
          </cell>
          <cell r="I599" t="str">
            <v>Copo 220 ml Poli Papel</v>
          </cell>
          <cell r="J599">
            <v>0.436453225</v>
          </cell>
          <cell r="K599">
            <v>1</v>
          </cell>
          <cell r="L599" t="str">
            <v>Un</v>
          </cell>
          <cell r="M599">
            <v>0.436453225</v>
          </cell>
        </row>
        <row r="600">
          <cell r="H600">
            <v>210200011</v>
          </cell>
          <cell r="I600" t="str">
            <v>Colher Grande</v>
          </cell>
          <cell r="J600">
            <v>0.18408533000000002</v>
          </cell>
          <cell r="K600">
            <v>1</v>
          </cell>
          <cell r="L600" t="str">
            <v>Un</v>
          </cell>
          <cell r="M600">
            <v>0.18408533000000002</v>
          </cell>
        </row>
        <row r="601">
          <cell r="B601">
            <v>101900005</v>
          </cell>
          <cell r="C601">
            <v>1019</v>
          </cell>
          <cell r="D601" t="str">
            <v>Shake Mix® Maracujá Trufado 200 ml</v>
          </cell>
          <cell r="E601">
            <v>3.6853546664285717</v>
          </cell>
          <cell r="F601">
            <v>13.256671461973278</v>
          </cell>
          <cell r="G601">
            <v>16.867159585472113</v>
          </cell>
          <cell r="H601">
            <v>210400015</v>
          </cell>
          <cell r="I601" t="str">
            <v>Mescla de Maracujá</v>
          </cell>
          <cell r="J601">
            <v>0.80785714285714294</v>
          </cell>
          <cell r="K601">
            <v>0.03</v>
          </cell>
          <cell r="L601" t="str">
            <v>Kg</v>
          </cell>
          <cell r="M601">
            <v>26.928571428571431</v>
          </cell>
        </row>
        <row r="602">
          <cell r="H602">
            <v>210100001</v>
          </cell>
          <cell r="I602" t="str">
            <v>Bebida Láctea Uht (Baunilha)</v>
          </cell>
          <cell r="J602">
            <v>1.5168875400000001</v>
          </cell>
          <cell r="K602">
            <v>0.13900000000000001</v>
          </cell>
          <cell r="L602" t="str">
            <v>Lt</v>
          </cell>
          <cell r="M602">
            <v>10.91286</v>
          </cell>
        </row>
        <row r="603">
          <cell r="H603">
            <v>210900018</v>
          </cell>
          <cell r="I603" t="str">
            <v>Trufada Chiquinho</v>
          </cell>
          <cell r="J603">
            <v>0.66857142857142848</v>
          </cell>
          <cell r="K603">
            <v>1.4999999999999999E-2</v>
          </cell>
          <cell r="L603" t="str">
            <v>Kg</v>
          </cell>
          <cell r="M603">
            <v>44.571428571428569</v>
          </cell>
        </row>
        <row r="604">
          <cell r="H604">
            <v>210200011</v>
          </cell>
          <cell r="I604" t="str">
            <v>Colher Grande</v>
          </cell>
          <cell r="J604">
            <v>0.18408533000000002</v>
          </cell>
          <cell r="K604">
            <v>1</v>
          </cell>
          <cell r="L604" t="str">
            <v>Un</v>
          </cell>
          <cell r="M604">
            <v>0.18408533000000002</v>
          </cell>
        </row>
        <row r="605">
          <cell r="H605">
            <v>220100008</v>
          </cell>
          <cell r="I605" t="str">
            <v>Guardanapo Embalado</v>
          </cell>
          <cell r="J605">
            <v>7.1500000000000008E-2</v>
          </cell>
          <cell r="K605">
            <v>1</v>
          </cell>
          <cell r="L605" t="str">
            <v>Un</v>
          </cell>
          <cell r="M605">
            <v>7.1500000000000008E-2</v>
          </cell>
        </row>
        <row r="606">
          <cell r="H606">
            <v>210200051</v>
          </cell>
          <cell r="I606" t="str">
            <v>Copo 220 ml Poli Papel</v>
          </cell>
          <cell r="J606">
            <v>0.436453225</v>
          </cell>
          <cell r="K606">
            <v>1</v>
          </cell>
          <cell r="L606" t="str">
            <v>Un</v>
          </cell>
          <cell r="M606">
            <v>0.436453225</v>
          </cell>
        </row>
        <row r="607">
          <cell r="B607">
            <v>102100002</v>
          </cell>
          <cell r="C607">
            <v>1021</v>
          </cell>
          <cell r="D607" t="str">
            <v>Shake Mix® Morango com Ninho 200 ml</v>
          </cell>
          <cell r="E607">
            <v>3.7939451426190476</v>
          </cell>
          <cell r="F607">
            <v>13.647284685680026</v>
          </cell>
          <cell r="G607">
            <v>17.241714378712413</v>
          </cell>
          <cell r="H607">
            <v>210100001</v>
          </cell>
          <cell r="I607" t="str">
            <v>Bebida Láctea Uht (Baunilha)</v>
          </cell>
          <cell r="J607">
            <v>1.5168875400000001</v>
          </cell>
          <cell r="K607">
            <v>0.13900000000000001</v>
          </cell>
          <cell r="L607" t="str">
            <v>Lt</v>
          </cell>
          <cell r="M607">
            <v>10.91286</v>
          </cell>
        </row>
        <row r="608">
          <cell r="H608">
            <v>216000017</v>
          </cell>
          <cell r="I608" t="str">
            <v>Leite em Pó Ninho</v>
          </cell>
          <cell r="J608">
            <v>0.61893333333333345</v>
          </cell>
          <cell r="K608">
            <v>0.01</v>
          </cell>
          <cell r="L608" t="str">
            <v>Kg</v>
          </cell>
          <cell r="M608">
            <v>61.893333333333338</v>
          </cell>
        </row>
        <row r="609">
          <cell r="H609">
            <v>210200011</v>
          </cell>
          <cell r="I609" t="str">
            <v>Colher Grande</v>
          </cell>
          <cell r="J609">
            <v>0.18408533000000002</v>
          </cell>
          <cell r="K609">
            <v>1</v>
          </cell>
          <cell r="L609" t="str">
            <v>Un</v>
          </cell>
          <cell r="M609">
            <v>0.18408533000000002</v>
          </cell>
        </row>
        <row r="610">
          <cell r="H610">
            <v>210400016</v>
          </cell>
          <cell r="I610" t="str">
            <v>Mescla de morango</v>
          </cell>
          <cell r="J610">
            <v>0.96608571428571421</v>
          </cell>
          <cell r="K610">
            <v>0.03</v>
          </cell>
          <cell r="L610" t="str">
            <v>Kg</v>
          </cell>
          <cell r="M610">
            <v>32.202857142857141</v>
          </cell>
        </row>
        <row r="611">
          <cell r="H611">
            <v>210200051</v>
          </cell>
          <cell r="I611" t="str">
            <v>Copo 220 ml Poli Papel</v>
          </cell>
          <cell r="J611">
            <v>0.436453225</v>
          </cell>
          <cell r="K611">
            <v>1</v>
          </cell>
          <cell r="L611" t="str">
            <v>Un</v>
          </cell>
          <cell r="M611">
            <v>0.436453225</v>
          </cell>
        </row>
        <row r="612">
          <cell r="H612">
            <v>220100008</v>
          </cell>
          <cell r="I612" t="str">
            <v>Guardanapo Embalado</v>
          </cell>
          <cell r="J612">
            <v>7.1500000000000008E-2</v>
          </cell>
          <cell r="K612">
            <v>1</v>
          </cell>
          <cell r="L612" t="str">
            <v>Un</v>
          </cell>
          <cell r="M612">
            <v>7.1500000000000008E-2</v>
          </cell>
        </row>
        <row r="613">
          <cell r="B613">
            <v>102100003</v>
          </cell>
          <cell r="C613">
            <v>1021</v>
          </cell>
          <cell r="D613" t="str">
            <v>Shake Mix® Ouro Branco 200 ml</v>
          </cell>
          <cell r="E613">
            <v>3.9321775235714287</v>
          </cell>
          <cell r="F613">
            <v>14.144523466084275</v>
          </cell>
          <cell r="G613">
            <v>17.718511264434831</v>
          </cell>
          <cell r="H613">
            <v>210900026</v>
          </cell>
          <cell r="I613" t="str">
            <v>Bombom Ouro Branco</v>
          </cell>
          <cell r="J613">
            <v>1.0546800000000001</v>
          </cell>
          <cell r="K613">
            <v>1</v>
          </cell>
          <cell r="L613" t="str">
            <v>Un</v>
          </cell>
          <cell r="M613">
            <v>1.0546800000000001</v>
          </cell>
        </row>
        <row r="614">
          <cell r="H614">
            <v>210100001</v>
          </cell>
          <cell r="I614" t="str">
            <v>Bebida Láctea Uht (Baunilha)</v>
          </cell>
          <cell r="J614">
            <v>1.5168875400000001</v>
          </cell>
          <cell r="K614">
            <v>0.13900000000000001</v>
          </cell>
          <cell r="L614" t="str">
            <v>Lt</v>
          </cell>
          <cell r="M614">
            <v>10.91286</v>
          </cell>
        </row>
        <row r="615">
          <cell r="H615">
            <v>210900018</v>
          </cell>
          <cell r="I615" t="str">
            <v>Trufada Chiquinho</v>
          </cell>
          <cell r="J615">
            <v>0.66857142857142848</v>
          </cell>
          <cell r="K615">
            <v>1.4999999999999999E-2</v>
          </cell>
          <cell r="L615" t="str">
            <v>Kg</v>
          </cell>
          <cell r="M615">
            <v>44.571428571428569</v>
          </cell>
        </row>
        <row r="616">
          <cell r="H616">
            <v>210200011</v>
          </cell>
          <cell r="I616" t="str">
            <v>Colher Grande</v>
          </cell>
          <cell r="J616">
            <v>0.18408533000000002</v>
          </cell>
          <cell r="K616">
            <v>1</v>
          </cell>
          <cell r="L616" t="str">
            <v>Un</v>
          </cell>
          <cell r="M616">
            <v>0.18408533000000002</v>
          </cell>
        </row>
        <row r="617">
          <cell r="H617">
            <v>220100008</v>
          </cell>
          <cell r="I617" t="str">
            <v>Guardanapo Embalado</v>
          </cell>
          <cell r="J617">
            <v>7.1500000000000008E-2</v>
          </cell>
          <cell r="K617">
            <v>1</v>
          </cell>
          <cell r="L617" t="str">
            <v>Un</v>
          </cell>
          <cell r="M617">
            <v>7.1500000000000008E-2</v>
          </cell>
        </row>
        <row r="618">
          <cell r="H618">
            <v>210200051</v>
          </cell>
          <cell r="I618" t="str">
            <v>Copo 220 ml Poli Papel</v>
          </cell>
          <cell r="J618">
            <v>0.436453225</v>
          </cell>
          <cell r="K618">
            <v>1</v>
          </cell>
          <cell r="L618" t="str">
            <v>Un</v>
          </cell>
          <cell r="M618">
            <v>0.436453225</v>
          </cell>
        </row>
        <row r="619">
          <cell r="B619">
            <v>102100004</v>
          </cell>
          <cell r="C619">
            <v>1021</v>
          </cell>
          <cell r="D619" t="str">
            <v>Shake Mix® Suflair Trufado 200 ml</v>
          </cell>
          <cell r="E619">
            <v>5.2113451798214294</v>
          </cell>
          <cell r="F619">
            <v>18.745845970580678</v>
          </cell>
          <cell r="G619">
            <v>22.13066962136098</v>
          </cell>
          <cell r="H619">
            <v>210900012</v>
          </cell>
          <cell r="I619" t="str">
            <v>Suflair Nestle</v>
          </cell>
          <cell r="J619">
            <v>2.3338476562500001</v>
          </cell>
          <cell r="K619">
            <v>0.02</v>
          </cell>
          <cell r="L619" t="str">
            <v>Kg</v>
          </cell>
          <cell r="M619">
            <v>116.6923828125</v>
          </cell>
        </row>
        <row r="620">
          <cell r="H620">
            <v>210100001</v>
          </cell>
          <cell r="I620" t="str">
            <v>Bebida Láctea Uht (Baunilha)</v>
          </cell>
          <cell r="J620">
            <v>0.75844377000000007</v>
          </cell>
          <cell r="K620">
            <v>6.9500000000000006E-2</v>
          </cell>
          <cell r="L620" t="str">
            <v>Lt</v>
          </cell>
          <cell r="M620">
            <v>10.91286</v>
          </cell>
        </row>
        <row r="621">
          <cell r="H621">
            <v>210100002</v>
          </cell>
          <cell r="I621" t="str">
            <v>Bebida Láctea Uht (Chocolate)</v>
          </cell>
          <cell r="J621">
            <v>0.75844377000000007</v>
          </cell>
          <cell r="K621">
            <v>6.9500000000000006E-2</v>
          </cell>
          <cell r="L621" t="str">
            <v>Lt</v>
          </cell>
          <cell r="M621">
            <v>10.91286</v>
          </cell>
        </row>
        <row r="622">
          <cell r="H622">
            <v>210900018</v>
          </cell>
          <cell r="I622" t="str">
            <v>Trufada Chiquinho</v>
          </cell>
          <cell r="J622">
            <v>0.66857142857142848</v>
          </cell>
          <cell r="K622">
            <v>1.4999999999999999E-2</v>
          </cell>
          <cell r="L622" t="str">
            <v>Kg</v>
          </cell>
          <cell r="M622">
            <v>44.571428571428569</v>
          </cell>
        </row>
        <row r="623">
          <cell r="H623">
            <v>210200011</v>
          </cell>
          <cell r="I623" t="str">
            <v>Colher Grande</v>
          </cell>
          <cell r="J623">
            <v>0.18408533000000002</v>
          </cell>
          <cell r="K623">
            <v>1</v>
          </cell>
          <cell r="L623" t="str">
            <v>Un</v>
          </cell>
          <cell r="M623">
            <v>0.18408533000000002</v>
          </cell>
        </row>
        <row r="624">
          <cell r="H624">
            <v>220100008</v>
          </cell>
          <cell r="I624" t="str">
            <v>Guardanapo Embalado</v>
          </cell>
          <cell r="J624">
            <v>7.1500000000000008E-2</v>
          </cell>
          <cell r="K624">
            <v>1</v>
          </cell>
          <cell r="L624" t="str">
            <v>Un</v>
          </cell>
          <cell r="M624">
            <v>7.1500000000000008E-2</v>
          </cell>
        </row>
        <row r="625">
          <cell r="H625">
            <v>210200051</v>
          </cell>
          <cell r="I625" t="str">
            <v>Copo 220 ml Poli Papel</v>
          </cell>
          <cell r="J625">
            <v>0.436453225</v>
          </cell>
          <cell r="K625">
            <v>1</v>
          </cell>
          <cell r="L625" t="str">
            <v>Un</v>
          </cell>
          <cell r="M625">
            <v>0.436453225</v>
          </cell>
        </row>
        <row r="626">
          <cell r="B626">
            <v>102100005</v>
          </cell>
          <cell r="C626">
            <v>1021</v>
          </cell>
          <cell r="D626" t="str">
            <v>Shake Mix® Chocotino com Nutella 200 ml</v>
          </cell>
          <cell r="E626">
            <v>3.9422547616666668</v>
          </cell>
          <cell r="F626">
            <v>14.180772523980815</v>
          </cell>
          <cell r="G626">
            <v>17.753270093787183</v>
          </cell>
          <cell r="H626">
            <v>216000050</v>
          </cell>
          <cell r="I626" t="str">
            <v>Nutella</v>
          </cell>
          <cell r="J626">
            <v>1.268454</v>
          </cell>
          <cell r="K626">
            <v>1.7999999999999999E-2</v>
          </cell>
          <cell r="L626" t="str">
            <v>Kg</v>
          </cell>
          <cell r="M626">
            <v>70.469666666666669</v>
          </cell>
        </row>
        <row r="627">
          <cell r="H627">
            <v>210100001</v>
          </cell>
          <cell r="I627" t="str">
            <v>Bebida Láctea Uht (Baunilha)</v>
          </cell>
          <cell r="J627">
            <v>1.5168875400000001</v>
          </cell>
          <cell r="K627">
            <v>0.13900000000000001</v>
          </cell>
          <cell r="L627" t="str">
            <v>Lt</v>
          </cell>
          <cell r="M627">
            <v>10.91286</v>
          </cell>
        </row>
        <row r="628">
          <cell r="H628">
            <v>210900004</v>
          </cell>
          <cell r="I628" t="str">
            <v>Ovomaltine</v>
          </cell>
          <cell r="J628">
            <v>0.46487466666666666</v>
          </cell>
          <cell r="K628">
            <v>1.2E-2</v>
          </cell>
          <cell r="L628" t="str">
            <v>Kg</v>
          </cell>
          <cell r="M628">
            <v>38.739555555555555</v>
          </cell>
        </row>
        <row r="629">
          <cell r="H629">
            <v>210200011</v>
          </cell>
          <cell r="I629" t="str">
            <v>Colher Grande</v>
          </cell>
          <cell r="J629">
            <v>0.18408533000000002</v>
          </cell>
          <cell r="K629">
            <v>1</v>
          </cell>
          <cell r="L629" t="str">
            <v>Un</v>
          </cell>
          <cell r="M629">
            <v>0.18408533000000002</v>
          </cell>
        </row>
        <row r="630">
          <cell r="H630">
            <v>220100008</v>
          </cell>
          <cell r="I630" t="str">
            <v>Guardanapo Embalado</v>
          </cell>
          <cell r="J630">
            <v>7.1500000000000008E-2</v>
          </cell>
          <cell r="K630">
            <v>1</v>
          </cell>
          <cell r="L630" t="str">
            <v>Un</v>
          </cell>
          <cell r="M630">
            <v>7.1500000000000008E-2</v>
          </cell>
        </row>
        <row r="631">
          <cell r="H631">
            <v>210200051</v>
          </cell>
          <cell r="I631" t="str">
            <v>Copo 220 ml Poli Papel</v>
          </cell>
          <cell r="J631">
            <v>0.436453225</v>
          </cell>
          <cell r="K631">
            <v>1</v>
          </cell>
          <cell r="L631" t="str">
            <v>Un</v>
          </cell>
          <cell r="M631">
            <v>0.436453225</v>
          </cell>
        </row>
        <row r="632">
          <cell r="B632">
            <v>102100006</v>
          </cell>
          <cell r="C632">
            <v>1021</v>
          </cell>
          <cell r="D632" t="str">
            <v>Shake Mix® Ninho Trufado 200 ml</v>
          </cell>
          <cell r="E632">
            <v>3.496430856904762</v>
          </cell>
          <cell r="F632">
            <v>12.577089413326481</v>
          </cell>
          <cell r="G632">
            <v>16.215515713036762</v>
          </cell>
          <cell r="H632">
            <v>216000017</v>
          </cell>
          <cell r="I632" t="str">
            <v>Leite em Pó Ninho</v>
          </cell>
          <cell r="J632">
            <v>0.61893333333333345</v>
          </cell>
          <cell r="K632">
            <v>0.01</v>
          </cell>
          <cell r="L632" t="str">
            <v>Kg</v>
          </cell>
          <cell r="M632">
            <v>61.893333333333338</v>
          </cell>
        </row>
        <row r="633">
          <cell r="H633">
            <v>210100001</v>
          </cell>
          <cell r="I633" t="str">
            <v>Bebida Láctea Uht (Baunilha)</v>
          </cell>
          <cell r="J633">
            <v>1.5168875400000001</v>
          </cell>
          <cell r="K633">
            <v>0.13900000000000001</v>
          </cell>
          <cell r="L633" t="str">
            <v>Lt</v>
          </cell>
          <cell r="M633">
            <v>10.91286</v>
          </cell>
        </row>
        <row r="634">
          <cell r="H634">
            <v>210900018</v>
          </cell>
          <cell r="I634" t="str">
            <v>Trufada Chiquinho</v>
          </cell>
          <cell r="J634">
            <v>0.66857142857142848</v>
          </cell>
          <cell r="K634">
            <v>1.4999999999999999E-2</v>
          </cell>
          <cell r="L634" t="str">
            <v>Kg</v>
          </cell>
          <cell r="M634">
            <v>44.571428571428569</v>
          </cell>
        </row>
        <row r="635">
          <cell r="H635">
            <v>210200011</v>
          </cell>
          <cell r="I635" t="str">
            <v>Colher Grande</v>
          </cell>
          <cell r="J635">
            <v>0.18408533000000002</v>
          </cell>
          <cell r="K635">
            <v>1</v>
          </cell>
          <cell r="L635" t="str">
            <v>Un</v>
          </cell>
          <cell r="M635">
            <v>0.18408533000000002</v>
          </cell>
        </row>
        <row r="636">
          <cell r="H636">
            <v>220100008</v>
          </cell>
          <cell r="I636" t="str">
            <v>Guardanapo Embalado</v>
          </cell>
          <cell r="J636">
            <v>7.1500000000000008E-2</v>
          </cell>
          <cell r="K636">
            <v>1</v>
          </cell>
          <cell r="L636" t="str">
            <v>Un</v>
          </cell>
          <cell r="M636">
            <v>7.1500000000000008E-2</v>
          </cell>
        </row>
        <row r="637">
          <cell r="H637">
            <v>210200051</v>
          </cell>
          <cell r="I637" t="str">
            <v>Copo 220 ml Poli Papel</v>
          </cell>
          <cell r="J637">
            <v>0.436453225</v>
          </cell>
          <cell r="K637">
            <v>1</v>
          </cell>
          <cell r="L637" t="str">
            <v>Un</v>
          </cell>
          <cell r="M637">
            <v>0.436453225</v>
          </cell>
        </row>
        <row r="638">
          <cell r="B638">
            <v>102100007</v>
          </cell>
          <cell r="C638">
            <v>1021</v>
          </cell>
          <cell r="D638" t="str">
            <v>Shake Mix® Ninho com Nutella 200 ml</v>
          </cell>
          <cell r="E638">
            <v>4.0963134283333336</v>
          </cell>
          <cell r="F638">
            <v>14.73494038968825</v>
          </cell>
          <cell r="G638">
            <v>18.28465566335586</v>
          </cell>
          <cell r="H638">
            <v>216000017</v>
          </cell>
          <cell r="I638" t="str">
            <v>Leite em Pó Ninho</v>
          </cell>
          <cell r="J638">
            <v>0.61893333333333345</v>
          </cell>
          <cell r="K638">
            <v>0.01</v>
          </cell>
          <cell r="L638" t="str">
            <v>Kg</v>
          </cell>
          <cell r="M638">
            <v>61.893333333333338</v>
          </cell>
        </row>
        <row r="639">
          <cell r="H639">
            <v>210100001</v>
          </cell>
          <cell r="I639" t="str">
            <v>Bebida Láctea Uht (Baunilha)</v>
          </cell>
          <cell r="J639">
            <v>1.5168875400000001</v>
          </cell>
          <cell r="K639">
            <v>0.13900000000000001</v>
          </cell>
          <cell r="L639" t="str">
            <v>Lt</v>
          </cell>
          <cell r="M639">
            <v>10.91286</v>
          </cell>
        </row>
        <row r="640">
          <cell r="H640">
            <v>216000050</v>
          </cell>
          <cell r="I640" t="str">
            <v>Nutella</v>
          </cell>
          <cell r="J640">
            <v>1.268454</v>
          </cell>
          <cell r="K640">
            <v>1.7999999999999999E-2</v>
          </cell>
          <cell r="L640" t="str">
            <v>Kg</v>
          </cell>
          <cell r="M640">
            <v>70.469666666666669</v>
          </cell>
        </row>
        <row r="641">
          <cell r="H641">
            <v>210200011</v>
          </cell>
          <cell r="I641" t="str">
            <v>Colher Grande</v>
          </cell>
          <cell r="J641">
            <v>0.18408533000000002</v>
          </cell>
          <cell r="K641">
            <v>1</v>
          </cell>
          <cell r="L641" t="str">
            <v>Un</v>
          </cell>
          <cell r="M641">
            <v>0.18408533000000002</v>
          </cell>
        </row>
        <row r="642">
          <cell r="H642">
            <v>220100008</v>
          </cell>
          <cell r="I642" t="str">
            <v>Guardanapo Embalado</v>
          </cell>
          <cell r="J642">
            <v>7.1500000000000008E-2</v>
          </cell>
          <cell r="K642">
            <v>1</v>
          </cell>
          <cell r="L642" t="str">
            <v>Un</v>
          </cell>
          <cell r="M642">
            <v>7.1500000000000008E-2</v>
          </cell>
        </row>
        <row r="643">
          <cell r="H643">
            <v>210200051</v>
          </cell>
          <cell r="I643" t="str">
            <v>Copo 220 ml Poli Papel</v>
          </cell>
          <cell r="J643">
            <v>0.436453225</v>
          </cell>
          <cell r="K643">
            <v>1</v>
          </cell>
          <cell r="L643" t="str">
            <v>Un</v>
          </cell>
          <cell r="M643">
            <v>0.436453225</v>
          </cell>
        </row>
        <row r="644">
          <cell r="B644">
            <v>102100008</v>
          </cell>
          <cell r="C644">
            <v>1021</v>
          </cell>
          <cell r="D644" t="str">
            <v>Shake Mix® Açai com Creme Crocante 200 ml</v>
          </cell>
          <cell r="E644">
            <v>4.5030823649999991</v>
          </cell>
          <cell r="F644">
            <v>16.198138003597119</v>
          </cell>
          <cell r="G644">
            <v>19.687700021523266</v>
          </cell>
          <cell r="H644">
            <v>216000005</v>
          </cell>
          <cell r="I644" t="str">
            <v>Açaí Natural</v>
          </cell>
          <cell r="J644">
            <v>1.8560299999999998</v>
          </cell>
          <cell r="K644">
            <v>0.1</v>
          </cell>
          <cell r="L644" t="str">
            <v>Kg</v>
          </cell>
          <cell r="M644">
            <v>18.560299999999998</v>
          </cell>
        </row>
        <row r="645">
          <cell r="H645">
            <v>210100001</v>
          </cell>
          <cell r="I645" t="str">
            <v>Bebida Láctea Uht (Baunilha)</v>
          </cell>
          <cell r="J645">
            <v>0.91122381000000008</v>
          </cell>
          <cell r="K645">
            <v>8.3500000000000005E-2</v>
          </cell>
          <cell r="L645" t="str">
            <v>Lt</v>
          </cell>
          <cell r="M645">
            <v>10.91286</v>
          </cell>
        </row>
        <row r="646">
          <cell r="H646">
            <v>216000039</v>
          </cell>
          <cell r="I646" t="str">
            <v>Creme Crocante</v>
          </cell>
          <cell r="J646">
            <v>1.0437899999999998</v>
          </cell>
          <cell r="K646">
            <v>1.7999999999999999E-2</v>
          </cell>
          <cell r="L646" t="str">
            <v>Kg</v>
          </cell>
          <cell r="M646">
            <v>57.98833333333333</v>
          </cell>
        </row>
        <row r="647">
          <cell r="H647">
            <v>210200011</v>
          </cell>
          <cell r="I647" t="str">
            <v>Colher Grande</v>
          </cell>
          <cell r="J647">
            <v>0.18408533000000002</v>
          </cell>
          <cell r="K647">
            <v>1</v>
          </cell>
          <cell r="L647" t="str">
            <v>Un</v>
          </cell>
          <cell r="M647">
            <v>0.18408533000000002</v>
          </cell>
        </row>
        <row r="648">
          <cell r="H648">
            <v>220100008</v>
          </cell>
          <cell r="I648" t="str">
            <v>Guardanapo Embalado</v>
          </cell>
          <cell r="J648">
            <v>7.1500000000000008E-2</v>
          </cell>
          <cell r="K648">
            <v>1</v>
          </cell>
          <cell r="L648" t="str">
            <v>Un</v>
          </cell>
          <cell r="M648">
            <v>7.1500000000000008E-2</v>
          </cell>
        </row>
        <row r="649">
          <cell r="H649">
            <v>210200051</v>
          </cell>
          <cell r="I649" t="str">
            <v>Copo 220 ml Poli Papel</v>
          </cell>
          <cell r="J649">
            <v>0.436453225</v>
          </cell>
          <cell r="K649">
            <v>1</v>
          </cell>
          <cell r="L649" t="str">
            <v>Un</v>
          </cell>
          <cell r="M649">
            <v>0.436453225</v>
          </cell>
        </row>
        <row r="650">
          <cell r="B650">
            <v>102100009</v>
          </cell>
          <cell r="C650">
            <v>1021</v>
          </cell>
          <cell r="D650" t="str">
            <v>Shake Mix® Açaí com Nutella 200 ml</v>
          </cell>
          <cell r="E650">
            <v>4.7277463650000007</v>
          </cell>
          <cell r="F650">
            <v>17.006281888489209</v>
          </cell>
          <cell r="G650">
            <v>20.462620447518415</v>
          </cell>
          <cell r="H650">
            <v>216000005</v>
          </cell>
          <cell r="I650" t="str">
            <v>Açaí Natural</v>
          </cell>
          <cell r="J650">
            <v>1.8560299999999998</v>
          </cell>
          <cell r="K650">
            <v>0.1</v>
          </cell>
          <cell r="L650" t="str">
            <v>Kg</v>
          </cell>
          <cell r="M650">
            <v>18.560299999999998</v>
          </cell>
        </row>
        <row r="651">
          <cell r="H651">
            <v>210100001</v>
          </cell>
          <cell r="I651" t="str">
            <v>Bebida Láctea Uht (Baunilha)</v>
          </cell>
          <cell r="J651">
            <v>0.91122381000000008</v>
          </cell>
          <cell r="K651">
            <v>8.3500000000000005E-2</v>
          </cell>
          <cell r="L651" t="str">
            <v>Lt</v>
          </cell>
          <cell r="M651">
            <v>10.91286</v>
          </cell>
        </row>
        <row r="652">
          <cell r="H652">
            <v>216000050</v>
          </cell>
          <cell r="I652" t="str">
            <v>Nutella</v>
          </cell>
          <cell r="J652">
            <v>1.268454</v>
          </cell>
          <cell r="K652">
            <v>1.7999999999999999E-2</v>
          </cell>
          <cell r="L652" t="str">
            <v>Kg</v>
          </cell>
          <cell r="M652">
            <v>70.469666666666669</v>
          </cell>
        </row>
        <row r="653">
          <cell r="H653">
            <v>210200011</v>
          </cell>
          <cell r="I653" t="str">
            <v>Colher Grande</v>
          </cell>
          <cell r="J653">
            <v>0.18408533000000002</v>
          </cell>
          <cell r="K653">
            <v>1</v>
          </cell>
          <cell r="L653" t="str">
            <v>Un</v>
          </cell>
          <cell r="M653">
            <v>0.18408533000000002</v>
          </cell>
        </row>
        <row r="654">
          <cell r="H654">
            <v>220100008</v>
          </cell>
          <cell r="I654" t="str">
            <v>Guardanapo Embalado</v>
          </cell>
          <cell r="J654">
            <v>7.1500000000000008E-2</v>
          </cell>
          <cell r="K654">
            <v>1</v>
          </cell>
          <cell r="L654" t="str">
            <v>Un</v>
          </cell>
          <cell r="M654">
            <v>7.1500000000000008E-2</v>
          </cell>
        </row>
        <row r="655">
          <cell r="H655">
            <v>210200051</v>
          </cell>
          <cell r="I655" t="str">
            <v>Copo 220 ml Poli Papel</v>
          </cell>
          <cell r="J655">
            <v>0.436453225</v>
          </cell>
          <cell r="K655">
            <v>1</v>
          </cell>
          <cell r="L655" t="str">
            <v>Un</v>
          </cell>
          <cell r="M655">
            <v>0.436453225</v>
          </cell>
        </row>
        <row r="656">
          <cell r="B656">
            <v>102100010</v>
          </cell>
          <cell r="C656">
            <v>1021</v>
          </cell>
          <cell r="D656" t="str">
            <v>Shake Mix® Ovomaltine Mix 200 ml</v>
          </cell>
          <cell r="E656">
            <v>3.7175907616666666</v>
          </cell>
          <cell r="F656">
            <v>13.372628639088727</v>
          </cell>
          <cell r="G656">
            <v>16.978349667792042</v>
          </cell>
          <cell r="H656">
            <v>216000039</v>
          </cell>
          <cell r="I656" t="str">
            <v>Creme Crocante</v>
          </cell>
          <cell r="J656">
            <v>1.0437899999999998</v>
          </cell>
          <cell r="K656">
            <v>1.7999999999999999E-2</v>
          </cell>
          <cell r="L656" t="str">
            <v>Kg</v>
          </cell>
          <cell r="M656">
            <v>57.98833333333333</v>
          </cell>
        </row>
        <row r="657">
          <cell r="H657">
            <v>210100001</v>
          </cell>
          <cell r="I657" t="str">
            <v>Bebida Láctea Uht (Baunilha)</v>
          </cell>
          <cell r="J657">
            <v>1.5168875400000001</v>
          </cell>
          <cell r="K657">
            <v>0.13900000000000001</v>
          </cell>
          <cell r="L657" t="str">
            <v>Lt</v>
          </cell>
          <cell r="M657">
            <v>10.91286</v>
          </cell>
        </row>
        <row r="658">
          <cell r="H658">
            <v>210900004</v>
          </cell>
          <cell r="I658" t="str">
            <v>Ovomaltine</v>
          </cell>
          <cell r="J658">
            <v>0.46487466666666666</v>
          </cell>
          <cell r="K658">
            <v>1.2E-2</v>
          </cell>
          <cell r="L658" t="str">
            <v>Kg</v>
          </cell>
          <cell r="M658">
            <v>38.739555555555555</v>
          </cell>
        </row>
        <row r="659">
          <cell r="H659">
            <v>210200011</v>
          </cell>
          <cell r="I659" t="str">
            <v>Colher Grande</v>
          </cell>
          <cell r="J659">
            <v>0.18408533000000002</v>
          </cell>
          <cell r="K659">
            <v>1</v>
          </cell>
          <cell r="L659" t="str">
            <v>Un</v>
          </cell>
          <cell r="M659">
            <v>0.18408533000000002</v>
          </cell>
        </row>
        <row r="660">
          <cell r="H660">
            <v>220100008</v>
          </cell>
          <cell r="I660" t="str">
            <v>Guardanapo Embalado</v>
          </cell>
          <cell r="J660">
            <v>7.1500000000000008E-2</v>
          </cell>
          <cell r="K660">
            <v>1</v>
          </cell>
          <cell r="L660" t="str">
            <v>Un</v>
          </cell>
          <cell r="M660">
            <v>7.1500000000000008E-2</v>
          </cell>
        </row>
        <row r="661">
          <cell r="H661">
            <v>210200051</v>
          </cell>
          <cell r="I661" t="str">
            <v>Copo 220 ml Poli Papel</v>
          </cell>
          <cell r="J661">
            <v>0.436453225</v>
          </cell>
          <cell r="K661">
            <v>1</v>
          </cell>
          <cell r="L661" t="str">
            <v>Un</v>
          </cell>
          <cell r="M661">
            <v>0.436453225</v>
          </cell>
        </row>
        <row r="662">
          <cell r="B662">
            <v>102100011</v>
          </cell>
          <cell r="C662">
            <v>1021</v>
          </cell>
          <cell r="D662" t="str">
            <v>Shake Mix® Trufado de Nutella 200 ml</v>
          </cell>
          <cell r="E662">
            <v>4.145951523571429</v>
          </cell>
          <cell r="F662">
            <v>14.913494689105859</v>
          </cell>
          <cell r="G662">
            <v>18.455869448864405</v>
          </cell>
          <cell r="H662">
            <v>216000050</v>
          </cell>
          <cell r="I662" t="str">
            <v>Nutella</v>
          </cell>
          <cell r="J662">
            <v>1.268454</v>
          </cell>
          <cell r="K662">
            <v>1.7999999999999999E-2</v>
          </cell>
          <cell r="L662" t="str">
            <v>kg</v>
          </cell>
          <cell r="M662">
            <v>70.469666666666669</v>
          </cell>
        </row>
        <row r="663">
          <cell r="H663">
            <v>210100001</v>
          </cell>
          <cell r="I663" t="str">
            <v>Bebida Láctea Uht (Baunilha)</v>
          </cell>
          <cell r="J663">
            <v>1.5168875400000001</v>
          </cell>
          <cell r="K663">
            <v>0.13900000000000001</v>
          </cell>
          <cell r="L663" t="str">
            <v>Lt</v>
          </cell>
          <cell r="M663">
            <v>10.91286</v>
          </cell>
        </row>
        <row r="664">
          <cell r="H664">
            <v>210900018</v>
          </cell>
          <cell r="I664" t="str">
            <v>Trufada Chiquinho</v>
          </cell>
          <cell r="J664">
            <v>0.66857142857142848</v>
          </cell>
          <cell r="K664">
            <v>1.4999999999999999E-2</v>
          </cell>
          <cell r="L664" t="str">
            <v>Kg</v>
          </cell>
          <cell r="M664">
            <v>44.571428571428569</v>
          </cell>
        </row>
        <row r="665">
          <cell r="H665">
            <v>220100008</v>
          </cell>
          <cell r="I665" t="str">
            <v>Guardanapo Embalado</v>
          </cell>
          <cell r="J665">
            <v>7.1500000000000008E-2</v>
          </cell>
          <cell r="K665">
            <v>1</v>
          </cell>
          <cell r="L665" t="str">
            <v>un</v>
          </cell>
          <cell r="M665">
            <v>7.1500000000000008E-2</v>
          </cell>
        </row>
        <row r="666">
          <cell r="H666">
            <v>210200051</v>
          </cell>
          <cell r="I666" t="str">
            <v>Copo 220 ml Poli Papel</v>
          </cell>
          <cell r="J666">
            <v>0.436453225</v>
          </cell>
          <cell r="K666">
            <v>1</v>
          </cell>
          <cell r="L666" t="str">
            <v>Un</v>
          </cell>
          <cell r="M666">
            <v>0.436453225</v>
          </cell>
        </row>
        <row r="667">
          <cell r="H667">
            <v>210200011</v>
          </cell>
          <cell r="I667" t="str">
            <v>Colher Grande</v>
          </cell>
          <cell r="J667">
            <v>0.18408533000000002</v>
          </cell>
          <cell r="K667">
            <v>1</v>
          </cell>
          <cell r="L667" t="str">
            <v>Un</v>
          </cell>
          <cell r="M667">
            <v>0.18408533000000002</v>
          </cell>
        </row>
        <row r="668">
          <cell r="B668">
            <v>101900004</v>
          </cell>
          <cell r="C668">
            <v>1019</v>
          </cell>
          <cell r="D668" t="str">
            <v>Shake Mix®Farinha Láctea e Banana 200 ml</v>
          </cell>
          <cell r="E668">
            <v>2.8002360950000003</v>
          </cell>
          <cell r="F668">
            <v>10.072791708633094</v>
          </cell>
          <cell r="G668">
            <v>13.814171743950375</v>
          </cell>
          <cell r="H668">
            <v>216000065</v>
          </cell>
          <cell r="I668" t="str">
            <v>Farinha Láctea</v>
          </cell>
          <cell r="J668">
            <v>0.45166000000000006</v>
          </cell>
          <cell r="K668">
            <v>1.2E-2</v>
          </cell>
          <cell r="L668" t="str">
            <v>kg</v>
          </cell>
          <cell r="M668">
            <v>37.638333333333335</v>
          </cell>
        </row>
        <row r="669">
          <cell r="H669">
            <v>216000018</v>
          </cell>
          <cell r="I669" t="str">
            <v>Banana Nanica</v>
          </cell>
          <cell r="J669">
            <v>0.13965000000000002</v>
          </cell>
          <cell r="K669">
            <v>3.5000000000000003E-2</v>
          </cell>
          <cell r="L669" t="str">
            <v>Kg</v>
          </cell>
          <cell r="M669">
            <v>3.99</v>
          </cell>
        </row>
        <row r="670">
          <cell r="H670">
            <v>210100001</v>
          </cell>
          <cell r="I670" t="str">
            <v>Bebida Láctea Uht (Baunilha)</v>
          </cell>
          <cell r="J670">
            <v>1.5168875400000001</v>
          </cell>
          <cell r="K670">
            <v>0.13900000000000001</v>
          </cell>
          <cell r="L670" t="str">
            <v>Lt</v>
          </cell>
          <cell r="M670">
            <v>10.91286</v>
          </cell>
        </row>
        <row r="671">
          <cell r="H671">
            <v>220100008</v>
          </cell>
          <cell r="I671" t="str">
            <v>Guardanapo Embalado</v>
          </cell>
          <cell r="J671">
            <v>7.1500000000000008E-2</v>
          </cell>
          <cell r="K671">
            <v>1</v>
          </cell>
          <cell r="L671" t="str">
            <v>Un</v>
          </cell>
          <cell r="M671">
            <v>7.1500000000000008E-2</v>
          </cell>
        </row>
        <row r="672">
          <cell r="H672">
            <v>210200051</v>
          </cell>
          <cell r="I672" t="str">
            <v>Copo 220 ml Poli Papel</v>
          </cell>
          <cell r="J672">
            <v>0.436453225</v>
          </cell>
          <cell r="K672">
            <v>1</v>
          </cell>
          <cell r="L672" t="str">
            <v>Un</v>
          </cell>
          <cell r="M672">
            <v>0.436453225</v>
          </cell>
        </row>
        <row r="673">
          <cell r="H673">
            <v>210200011</v>
          </cell>
          <cell r="I673" t="str">
            <v>Colher Grande</v>
          </cell>
          <cell r="J673">
            <v>0.18408533000000002</v>
          </cell>
          <cell r="K673">
            <v>1</v>
          </cell>
          <cell r="L673" t="str">
            <v>Un</v>
          </cell>
          <cell r="M673">
            <v>0.18408533000000002</v>
          </cell>
        </row>
        <row r="674">
          <cell r="B674">
            <v>102100012</v>
          </cell>
          <cell r="C674">
            <v>1007</v>
          </cell>
          <cell r="D674" t="str">
            <v>Shake Mix® Morango Supremo 200 ml</v>
          </cell>
          <cell r="E674">
            <v>5.6713134283333346</v>
          </cell>
          <cell r="F674">
            <v>20.400408015587534</v>
          </cell>
          <cell r="G674">
            <v>23.717211261682014</v>
          </cell>
          <cell r="H674">
            <v>216000050</v>
          </cell>
          <cell r="I674" t="str">
            <v>Nutella</v>
          </cell>
          <cell r="J674">
            <v>1.268454</v>
          </cell>
          <cell r="K674">
            <v>1.7999999999999999E-2</v>
          </cell>
          <cell r="L674" t="str">
            <v>kg</v>
          </cell>
          <cell r="M674">
            <v>70.469666666666669</v>
          </cell>
        </row>
        <row r="675">
          <cell r="H675">
            <v>216000020</v>
          </cell>
          <cell r="I675" t="str">
            <v>Morango</v>
          </cell>
          <cell r="J675">
            <v>1.575</v>
          </cell>
          <cell r="K675">
            <v>4.4999999999999998E-2</v>
          </cell>
          <cell r="L675" t="str">
            <v>kg</v>
          </cell>
          <cell r="M675">
            <v>35</v>
          </cell>
        </row>
        <row r="676">
          <cell r="H676">
            <v>216000017</v>
          </cell>
          <cell r="I676" t="str">
            <v>Leite em Pó Ninho</v>
          </cell>
          <cell r="J676">
            <v>0.61893333333333345</v>
          </cell>
          <cell r="K676">
            <v>0.01</v>
          </cell>
          <cell r="L676" t="str">
            <v>kg</v>
          </cell>
          <cell r="M676">
            <v>61.893333333333338</v>
          </cell>
        </row>
        <row r="677">
          <cell r="H677">
            <v>210100007</v>
          </cell>
          <cell r="I677" t="str">
            <v>Bebida Láctea Uht Sabores</v>
          </cell>
          <cell r="J677">
            <v>1.5168875400000001</v>
          </cell>
          <cell r="K677">
            <v>0.13900000000000001</v>
          </cell>
          <cell r="L677" t="str">
            <v>Lt</v>
          </cell>
          <cell r="M677">
            <v>10.91286</v>
          </cell>
        </row>
        <row r="678">
          <cell r="H678">
            <v>220100008</v>
          </cell>
          <cell r="I678" t="str">
            <v>Guardanapo Embalado</v>
          </cell>
          <cell r="J678">
            <v>7.1500000000000008E-2</v>
          </cell>
          <cell r="K678">
            <v>1</v>
          </cell>
          <cell r="L678" t="str">
            <v>un</v>
          </cell>
          <cell r="M678">
            <v>7.1500000000000008E-2</v>
          </cell>
        </row>
        <row r="679">
          <cell r="H679">
            <v>210200051</v>
          </cell>
          <cell r="I679" t="str">
            <v>Copo 220 ml Poli Papel</v>
          </cell>
          <cell r="J679">
            <v>0.436453225</v>
          </cell>
          <cell r="K679">
            <v>1</v>
          </cell>
          <cell r="L679" t="str">
            <v>Un</v>
          </cell>
          <cell r="M679">
            <v>0.436453225</v>
          </cell>
        </row>
        <row r="680">
          <cell r="H680">
            <v>210200011</v>
          </cell>
          <cell r="I680" t="str">
            <v>Colher Grande</v>
          </cell>
          <cell r="J680">
            <v>0.18408533000000002</v>
          </cell>
          <cell r="K680">
            <v>1</v>
          </cell>
          <cell r="L680" t="str">
            <v>Un</v>
          </cell>
          <cell r="M680">
            <v>0.18408533000000002</v>
          </cell>
        </row>
        <row r="681">
          <cell r="B681">
            <v>101900007</v>
          </cell>
          <cell r="C681">
            <v>1019</v>
          </cell>
          <cell r="D681" t="str">
            <v>Shake Mix®Torta de Limão 200 ml</v>
          </cell>
          <cell r="E681">
            <v>3.6583793198342374</v>
          </cell>
          <cell r="F681">
            <v>13.159637841130349</v>
          </cell>
          <cell r="G681">
            <v>16.774115096483008</v>
          </cell>
          <cell r="H681">
            <v>216000067</v>
          </cell>
          <cell r="I681" t="str">
            <v>Biscoito Maisena</v>
          </cell>
          <cell r="J681">
            <v>0.31428571428571433</v>
          </cell>
          <cell r="K681">
            <v>0.02</v>
          </cell>
          <cell r="L681" t="str">
            <v>kg</v>
          </cell>
          <cell r="M681">
            <v>15.714285714285715</v>
          </cell>
        </row>
        <row r="682">
          <cell r="H682">
            <v>216000056</v>
          </cell>
          <cell r="I682" t="str">
            <v>Limão-taiti</v>
          </cell>
          <cell r="J682">
            <v>0.16500000000000001</v>
          </cell>
          <cell r="K682">
            <v>5.5E-2</v>
          </cell>
          <cell r="L682" t="str">
            <v>kg</v>
          </cell>
          <cell r="M682">
            <v>3</v>
          </cell>
        </row>
        <row r="683">
          <cell r="H683">
            <v>216000017</v>
          </cell>
          <cell r="I683" t="str">
            <v>Leite em Pó Ninho</v>
          </cell>
          <cell r="J683">
            <v>0.61893333333333345</v>
          </cell>
          <cell r="K683">
            <v>0.01</v>
          </cell>
          <cell r="L683" t="str">
            <v>kg</v>
          </cell>
          <cell r="M683">
            <v>61.893333333333338</v>
          </cell>
        </row>
        <row r="684">
          <cell r="H684">
            <v>216000013</v>
          </cell>
          <cell r="I684" t="str">
            <v>Leite Condensado</v>
          </cell>
          <cell r="J684">
            <v>0.3512341772151899</v>
          </cell>
          <cell r="K684">
            <v>1.2500000000000001E-2</v>
          </cell>
          <cell r="L684" t="str">
            <v>kg</v>
          </cell>
          <cell r="M684">
            <v>28.098734177215189</v>
          </cell>
        </row>
        <row r="685">
          <cell r="H685">
            <v>210100007</v>
          </cell>
          <cell r="I685" t="str">
            <v>Bebida Láctea Uht Sabores</v>
          </cell>
          <cell r="J685">
            <v>1.5168875400000001</v>
          </cell>
          <cell r="K685">
            <v>0.13900000000000001</v>
          </cell>
          <cell r="L685" t="str">
            <v>Lt</v>
          </cell>
          <cell r="M685">
            <v>10.91286</v>
          </cell>
        </row>
        <row r="686">
          <cell r="H686">
            <v>220100008</v>
          </cell>
          <cell r="I686" t="str">
            <v>Guardanapo Embalado</v>
          </cell>
          <cell r="J686">
            <v>7.1500000000000008E-2</v>
          </cell>
          <cell r="K686">
            <v>1</v>
          </cell>
          <cell r="L686" t="str">
            <v>un</v>
          </cell>
          <cell r="M686">
            <v>7.1500000000000008E-2</v>
          </cell>
        </row>
        <row r="687">
          <cell r="H687">
            <v>210200051</v>
          </cell>
          <cell r="I687" t="str">
            <v>Copo 220 ml Poli Papel</v>
          </cell>
          <cell r="J687">
            <v>0.436453225</v>
          </cell>
          <cell r="K687">
            <v>1</v>
          </cell>
          <cell r="L687" t="str">
            <v>Un</v>
          </cell>
          <cell r="M687">
            <v>0.436453225</v>
          </cell>
        </row>
        <row r="688">
          <cell r="H688">
            <v>210200011</v>
          </cell>
          <cell r="I688" t="str">
            <v>Colher Grande</v>
          </cell>
          <cell r="J688">
            <v>0.18408533000000002</v>
          </cell>
          <cell r="K688">
            <v>1</v>
          </cell>
          <cell r="L688" t="str">
            <v>Un</v>
          </cell>
          <cell r="M688">
            <v>0.18408533000000002</v>
          </cell>
        </row>
        <row r="689">
          <cell r="B689">
            <v>101900006</v>
          </cell>
          <cell r="C689">
            <v>1019</v>
          </cell>
          <cell r="D689" t="str">
            <v>Shake Mix®Torta Banoffe 200 ml</v>
          </cell>
          <cell r="E689">
            <v>2.9780386842857145</v>
          </cell>
          <cell r="F689">
            <v>10.712369367934224</v>
          </cell>
          <cell r="G689">
            <v>14.427455840344656</v>
          </cell>
          <cell r="H689">
            <v>216000067</v>
          </cell>
          <cell r="I689" t="str">
            <v>Biscoito Maisena</v>
          </cell>
          <cell r="J689">
            <v>0.31428571428571433</v>
          </cell>
          <cell r="K689">
            <v>0.02</v>
          </cell>
          <cell r="L689" t="str">
            <v>kg</v>
          </cell>
          <cell r="M689">
            <v>15.714285714285715</v>
          </cell>
        </row>
        <row r="690">
          <cell r="H690">
            <v>216000018</v>
          </cell>
          <cell r="I690" t="str">
            <v>Banana Nanica</v>
          </cell>
          <cell r="J690">
            <v>0.12768000000000002</v>
          </cell>
          <cell r="K690">
            <v>3.2000000000000001E-2</v>
          </cell>
          <cell r="L690" t="str">
            <v>kg</v>
          </cell>
          <cell r="M690">
            <v>3.99</v>
          </cell>
        </row>
        <row r="691">
          <cell r="H691">
            <v>216000015</v>
          </cell>
          <cell r="I691" t="str">
            <v>Doce de Leite</v>
          </cell>
          <cell r="J691">
            <v>0.327146875</v>
          </cell>
          <cell r="K691">
            <v>1.4999999999999999E-2</v>
          </cell>
          <cell r="L691" t="str">
            <v>kg</v>
          </cell>
          <cell r="M691">
            <v>21.809791666666669</v>
          </cell>
        </row>
        <row r="692">
          <cell r="H692">
            <v>210100007</v>
          </cell>
          <cell r="I692" t="str">
            <v>Bebida Láctea Uht Sabores</v>
          </cell>
          <cell r="J692">
            <v>1.5168875400000001</v>
          </cell>
          <cell r="K692">
            <v>0.13900000000000001</v>
          </cell>
          <cell r="L692" t="str">
            <v>Lt</v>
          </cell>
          <cell r="M692">
            <v>10.91286</v>
          </cell>
        </row>
        <row r="693">
          <cell r="H693">
            <v>220100008</v>
          </cell>
          <cell r="I693" t="str">
            <v>Guardanapo Embalado</v>
          </cell>
          <cell r="J693">
            <v>7.1500000000000008E-2</v>
          </cell>
          <cell r="K693">
            <v>1</v>
          </cell>
          <cell r="L693" t="str">
            <v>un</v>
          </cell>
          <cell r="M693">
            <v>7.1500000000000008E-2</v>
          </cell>
        </row>
        <row r="694">
          <cell r="H694">
            <v>210200051</v>
          </cell>
          <cell r="I694" t="str">
            <v>Copo 220 ml Poli Papel</v>
          </cell>
          <cell r="J694">
            <v>0.436453225</v>
          </cell>
          <cell r="K694">
            <v>1</v>
          </cell>
          <cell r="L694" t="str">
            <v>Un</v>
          </cell>
          <cell r="M694">
            <v>0.436453225</v>
          </cell>
        </row>
        <row r="695">
          <cell r="H695">
            <v>210200011</v>
          </cell>
          <cell r="I695" t="str">
            <v>Colher Grande</v>
          </cell>
          <cell r="J695">
            <v>0.18408533000000002</v>
          </cell>
          <cell r="K695">
            <v>1</v>
          </cell>
          <cell r="L695" t="str">
            <v>Un</v>
          </cell>
          <cell r="M695">
            <v>0.18408533000000002</v>
          </cell>
        </row>
        <row r="696">
          <cell r="B696">
            <v>102100013</v>
          </cell>
          <cell r="C696">
            <v>1021</v>
          </cell>
          <cell r="D696" t="str">
            <v>Shake Mix® Pistache 200 ml</v>
          </cell>
          <cell r="E696">
            <v>6.5504060950000005</v>
          </cell>
          <cell r="F696">
            <v>23.562611852517986</v>
          </cell>
          <cell r="G696">
            <v>26.749414301521675</v>
          </cell>
          <cell r="H696">
            <v>216000068</v>
          </cell>
          <cell r="I696" t="str">
            <v>Crempistache</v>
          </cell>
          <cell r="J696">
            <v>4.3414799999999998</v>
          </cell>
          <cell r="K696">
            <v>0.03</v>
          </cell>
          <cell r="L696" t="str">
            <v>kg</v>
          </cell>
          <cell r="M696">
            <v>144.71600000000001</v>
          </cell>
        </row>
        <row r="697">
          <cell r="H697">
            <v>210100007</v>
          </cell>
          <cell r="I697" t="str">
            <v>Bebida Láctea Uht Sabores</v>
          </cell>
          <cell r="J697">
            <v>1.5168875400000001</v>
          </cell>
          <cell r="K697">
            <v>0.13900000000000001</v>
          </cell>
          <cell r="L697" t="str">
            <v>Lt</v>
          </cell>
          <cell r="M697">
            <v>10.91286</v>
          </cell>
        </row>
        <row r="698">
          <cell r="H698">
            <v>220100008</v>
          </cell>
          <cell r="I698" t="str">
            <v>Guardanapo Embalado</v>
          </cell>
          <cell r="J698">
            <v>7.1500000000000008E-2</v>
          </cell>
          <cell r="K698">
            <v>1</v>
          </cell>
          <cell r="L698" t="str">
            <v>un</v>
          </cell>
          <cell r="M698">
            <v>7.1500000000000008E-2</v>
          </cell>
        </row>
        <row r="699">
          <cell r="H699">
            <v>210200051</v>
          </cell>
          <cell r="I699" t="str">
            <v>Copo 220 ml Poli Papel</v>
          </cell>
          <cell r="J699">
            <v>0.436453225</v>
          </cell>
          <cell r="K699">
            <v>1</v>
          </cell>
          <cell r="L699" t="str">
            <v>Un</v>
          </cell>
          <cell r="M699">
            <v>0.436453225</v>
          </cell>
        </row>
        <row r="700">
          <cell r="H700">
            <v>210200011</v>
          </cell>
          <cell r="I700" t="str">
            <v>Colher Grande</v>
          </cell>
          <cell r="J700">
            <v>0.18408533000000002</v>
          </cell>
          <cell r="K700">
            <v>1</v>
          </cell>
          <cell r="L700" t="str">
            <v>Un</v>
          </cell>
          <cell r="M700">
            <v>0.18408533000000002</v>
          </cell>
        </row>
        <row r="701">
          <cell r="B701">
            <v>102100014</v>
          </cell>
          <cell r="C701">
            <v>1032</v>
          </cell>
          <cell r="D701" t="str">
            <v>Shake Mix® Amarena &amp; Calda Trufada 200 ml</v>
          </cell>
          <cell r="E701">
            <v>5.9649975235714292</v>
          </cell>
          <cell r="F701">
            <v>21.456825624357656</v>
          </cell>
          <cell r="G701">
            <v>24.730198674840782</v>
          </cell>
          <cell r="H701">
            <v>210100007</v>
          </cell>
          <cell r="I701" t="str">
            <v>Bebida Láctea Uht Sabores</v>
          </cell>
          <cell r="J701">
            <v>1.5168875400000001</v>
          </cell>
          <cell r="K701">
            <v>0.13900000000000001</v>
          </cell>
          <cell r="L701" t="str">
            <v>Kg</v>
          </cell>
          <cell r="M701">
            <v>10.91286</v>
          </cell>
        </row>
        <row r="702">
          <cell r="H702">
            <v>216000078</v>
          </cell>
          <cell r="I702" t="str">
            <v>Variegato Amarena Rubino</v>
          </cell>
          <cell r="J702">
            <v>3.0875000000000004</v>
          </cell>
          <cell r="K702">
            <v>2.5000000000000001E-2</v>
          </cell>
          <cell r="L702" t="str">
            <v>Kg</v>
          </cell>
          <cell r="M702">
            <v>123.5</v>
          </cell>
        </row>
        <row r="703">
          <cell r="H703">
            <v>210900018</v>
          </cell>
          <cell r="I703" t="str">
            <v>Trufada Chiquinho</v>
          </cell>
          <cell r="J703">
            <v>0.66857142857142848</v>
          </cell>
          <cell r="K703">
            <v>1.4999999999999999E-2</v>
          </cell>
          <cell r="L703" t="str">
            <v>kg</v>
          </cell>
          <cell r="M703">
            <v>44.571428571428569</v>
          </cell>
        </row>
        <row r="704">
          <cell r="H704">
            <v>220100008</v>
          </cell>
          <cell r="I704" t="str">
            <v>Guardanapo Embalado</v>
          </cell>
          <cell r="J704">
            <v>7.1500000000000008E-2</v>
          </cell>
          <cell r="K704">
            <v>1</v>
          </cell>
          <cell r="L704" t="str">
            <v>Un</v>
          </cell>
          <cell r="M704">
            <v>7.1500000000000008E-2</v>
          </cell>
        </row>
        <row r="705">
          <cell r="H705">
            <v>210200011</v>
          </cell>
          <cell r="I705" t="str">
            <v>Colher Grande</v>
          </cell>
          <cell r="J705">
            <v>0.18408533000000002</v>
          </cell>
          <cell r="K705">
            <v>1</v>
          </cell>
          <cell r="L705" t="str">
            <v>Un</v>
          </cell>
          <cell r="M705">
            <v>0.18408533000000002</v>
          </cell>
        </row>
        <row r="706">
          <cell r="H706">
            <v>210200051</v>
          </cell>
          <cell r="I706" t="str">
            <v>Copo 220 ml Poli Papel</v>
          </cell>
          <cell r="J706">
            <v>0.436453225</v>
          </cell>
          <cell r="K706">
            <v>1</v>
          </cell>
          <cell r="L706" t="str">
            <v>Un</v>
          </cell>
          <cell r="M706">
            <v>0.436453225</v>
          </cell>
        </row>
        <row r="707">
          <cell r="B707">
            <v>101900008</v>
          </cell>
          <cell r="C707">
            <v>1032</v>
          </cell>
          <cell r="D707" t="str">
            <v>Shake Mix® Puro Leite 200 ml</v>
          </cell>
          <cell r="E707">
            <v>3.2568594283333336</v>
          </cell>
          <cell r="F707">
            <v>11.715321684652277</v>
          </cell>
          <cell r="G707">
            <v>15.389175963522662</v>
          </cell>
          <cell r="H707">
            <v>210100007</v>
          </cell>
          <cell r="I707" t="str">
            <v>Bebida Láctea Uht Sabores</v>
          </cell>
          <cell r="J707">
            <v>1.5168875400000001</v>
          </cell>
          <cell r="K707">
            <v>0.13900000000000001</v>
          </cell>
          <cell r="L707" t="str">
            <v>Kg</v>
          </cell>
          <cell r="M707">
            <v>10.91286</v>
          </cell>
        </row>
        <row r="708">
          <cell r="H708">
            <v>216000077</v>
          </cell>
          <cell r="I708" t="str">
            <v>Caribe Leitinho</v>
          </cell>
          <cell r="J708">
            <v>0.42899999999999994</v>
          </cell>
          <cell r="K708">
            <v>1.4999999999999999E-2</v>
          </cell>
          <cell r="L708" t="str">
            <v>Kg</v>
          </cell>
          <cell r="M708">
            <v>28.599999999999998</v>
          </cell>
        </row>
        <row r="709">
          <cell r="H709">
            <v>216000017</v>
          </cell>
          <cell r="I709" t="str">
            <v>Leite em Pó Ninho</v>
          </cell>
          <cell r="J709">
            <v>0.61893333333333345</v>
          </cell>
          <cell r="K709">
            <v>0.01</v>
          </cell>
          <cell r="L709" t="str">
            <v>kg</v>
          </cell>
          <cell r="M709">
            <v>61.893333333333338</v>
          </cell>
        </row>
        <row r="710">
          <cell r="H710">
            <v>220100008</v>
          </cell>
          <cell r="I710" t="str">
            <v>Guardanapo Embalado</v>
          </cell>
          <cell r="J710">
            <v>7.1500000000000008E-2</v>
          </cell>
          <cell r="K710">
            <v>1</v>
          </cell>
          <cell r="L710" t="str">
            <v>Un</v>
          </cell>
          <cell r="M710">
            <v>7.1500000000000008E-2</v>
          </cell>
        </row>
        <row r="711">
          <cell r="H711">
            <v>210200011</v>
          </cell>
          <cell r="I711" t="str">
            <v>Colher Grande</v>
          </cell>
          <cell r="J711">
            <v>0.18408533000000002</v>
          </cell>
          <cell r="K711">
            <v>1</v>
          </cell>
          <cell r="L711" t="str">
            <v>Un</v>
          </cell>
          <cell r="M711">
            <v>0.18408533000000002</v>
          </cell>
        </row>
        <row r="712">
          <cell r="H712">
            <v>210200051</v>
          </cell>
          <cell r="I712" t="str">
            <v>Copo 220 ml Poli Papel</v>
          </cell>
          <cell r="J712">
            <v>0.436453225</v>
          </cell>
          <cell r="K712">
            <v>1</v>
          </cell>
          <cell r="L712" t="str">
            <v>Un</v>
          </cell>
          <cell r="M712">
            <v>0.436453225</v>
          </cell>
        </row>
        <row r="713">
          <cell r="B713">
            <v>102100015</v>
          </cell>
          <cell r="C713">
            <v>1032</v>
          </cell>
          <cell r="D713" t="str">
            <v>Shake Mix® Beijinho com Coco Malásia 200 ml</v>
          </cell>
          <cell r="E713">
            <v>3.9372760950000001</v>
          </cell>
          <cell r="F713">
            <v>14.162863651079135</v>
          </cell>
          <cell r="G713">
            <v>17.736097469360388</v>
          </cell>
          <cell r="H713">
            <v>210100007</v>
          </cell>
          <cell r="I713" t="str">
            <v>Bebida Láctea Uht Sabores</v>
          </cell>
          <cell r="J713">
            <v>1.5168875400000001</v>
          </cell>
          <cell r="K713">
            <v>0.13900000000000001</v>
          </cell>
          <cell r="L713" t="str">
            <v>Kg</v>
          </cell>
          <cell r="M713">
            <v>10.91286</v>
          </cell>
        </row>
        <row r="714">
          <cell r="H714">
            <v>216000077</v>
          </cell>
          <cell r="I714" t="str">
            <v>Caribe Leitinho</v>
          </cell>
          <cell r="J714">
            <v>0.42899999999999994</v>
          </cell>
          <cell r="K714">
            <v>1.4999999999999999E-2</v>
          </cell>
          <cell r="L714" t="str">
            <v>Kg</v>
          </cell>
          <cell r="M714">
            <v>28.599999999999998</v>
          </cell>
        </row>
        <row r="715">
          <cell r="H715">
            <v>216000079</v>
          </cell>
          <cell r="I715" t="str">
            <v>Creme Coco Malasia</v>
          </cell>
          <cell r="J715">
            <v>1.29935</v>
          </cell>
          <cell r="K715">
            <v>1.4999999999999999E-2</v>
          </cell>
          <cell r="L715" t="str">
            <v>kg</v>
          </cell>
          <cell r="M715">
            <v>86.623333333333335</v>
          </cell>
        </row>
        <row r="716">
          <cell r="H716">
            <v>220100008</v>
          </cell>
          <cell r="I716" t="str">
            <v>Guardanapo Embalado</v>
          </cell>
          <cell r="J716">
            <v>7.1500000000000008E-2</v>
          </cell>
          <cell r="K716">
            <v>1</v>
          </cell>
          <cell r="L716" t="str">
            <v>Un</v>
          </cell>
          <cell r="M716">
            <v>7.1500000000000008E-2</v>
          </cell>
        </row>
        <row r="717">
          <cell r="H717">
            <v>210200011</v>
          </cell>
          <cell r="I717" t="str">
            <v>Colher Grande</v>
          </cell>
          <cell r="J717">
            <v>0.18408533000000002</v>
          </cell>
          <cell r="K717">
            <v>1</v>
          </cell>
          <cell r="L717" t="str">
            <v>Un</v>
          </cell>
          <cell r="M717">
            <v>0.18408533000000002</v>
          </cell>
        </row>
        <row r="718">
          <cell r="H718">
            <v>210200051</v>
          </cell>
          <cell r="I718" t="str">
            <v>Copo 220 ml Poli Papel</v>
          </cell>
          <cell r="J718">
            <v>0.436453225</v>
          </cell>
          <cell r="K718">
            <v>1</v>
          </cell>
          <cell r="L718" t="str">
            <v>Un</v>
          </cell>
          <cell r="M718">
            <v>0.436453225</v>
          </cell>
        </row>
        <row r="719">
          <cell r="B719">
            <v>100300015</v>
          </cell>
          <cell r="C719">
            <v>1003</v>
          </cell>
          <cell r="D719" t="str">
            <v>MsDoce Leite 300 ml</v>
          </cell>
          <cell r="E719">
            <v>3.3622533699999999</v>
          </cell>
          <cell r="F719">
            <v>12.094436582733811</v>
          </cell>
          <cell r="G719">
            <v>15.148294522466291</v>
          </cell>
          <cell r="H719">
            <v>216000016</v>
          </cell>
          <cell r="I719" t="str">
            <v>Leite Integral</v>
          </cell>
          <cell r="J719">
            <v>0.12</v>
          </cell>
          <cell r="K719">
            <v>0.03</v>
          </cell>
          <cell r="L719" t="str">
            <v>Lt</v>
          </cell>
          <cell r="M719">
            <v>4</v>
          </cell>
        </row>
        <row r="720">
          <cell r="H720">
            <v>216000015</v>
          </cell>
          <cell r="I720" t="str">
            <v>Doce de Leite</v>
          </cell>
          <cell r="J720">
            <v>0.65429375000000001</v>
          </cell>
          <cell r="K720">
            <v>0.03</v>
          </cell>
          <cell r="L720" t="str">
            <v>kg</v>
          </cell>
          <cell r="M720">
            <v>21.809791666666669</v>
          </cell>
        </row>
        <row r="721">
          <cell r="H721">
            <v>210100001</v>
          </cell>
          <cell r="I721" t="str">
            <v>Bebida Láctea Uht (Baunilha)</v>
          </cell>
          <cell r="J721">
            <v>1.93157622</v>
          </cell>
          <cell r="K721">
            <v>0.17699999999999999</v>
          </cell>
          <cell r="L721" t="str">
            <v>Lt</v>
          </cell>
          <cell r="M721">
            <v>10.91286</v>
          </cell>
        </row>
        <row r="722">
          <cell r="H722">
            <v>210200030</v>
          </cell>
          <cell r="I722" t="str">
            <v>Copo 330 ml Milk Shake</v>
          </cell>
          <cell r="J722">
            <v>0.2827461</v>
          </cell>
          <cell r="K722">
            <v>1</v>
          </cell>
          <cell r="L722" t="str">
            <v>Un</v>
          </cell>
          <cell r="M722">
            <v>0.2827461</v>
          </cell>
        </row>
        <row r="723">
          <cell r="H723">
            <v>210200049</v>
          </cell>
          <cell r="I723" t="str">
            <v>Tampa 330 ml Milk Shake</v>
          </cell>
          <cell r="J723">
            <v>0.17523</v>
          </cell>
          <cell r="K723">
            <v>1</v>
          </cell>
          <cell r="L723" t="str">
            <v>Un</v>
          </cell>
          <cell r="M723">
            <v>0.17523</v>
          </cell>
        </row>
        <row r="724">
          <cell r="H724">
            <v>220100008</v>
          </cell>
          <cell r="I724" t="str">
            <v>Guardanapo Embalado</v>
          </cell>
          <cell r="J724">
            <v>7.1500000000000008E-2</v>
          </cell>
          <cell r="K724">
            <v>1</v>
          </cell>
          <cell r="L724" t="str">
            <v>Un</v>
          </cell>
          <cell r="M724">
            <v>7.1500000000000008E-2</v>
          </cell>
        </row>
        <row r="725">
          <cell r="H725">
            <v>210200021</v>
          </cell>
          <cell r="I725" t="str">
            <v>Canudo para Milk Shake 10 mm</v>
          </cell>
          <cell r="J725">
            <v>0.12690729999999997</v>
          </cell>
          <cell r="K725">
            <v>1</v>
          </cell>
          <cell r="L725" t="str">
            <v>Un</v>
          </cell>
          <cell r="M725">
            <v>0.12690729999999997</v>
          </cell>
        </row>
        <row r="726">
          <cell r="B726">
            <v>100300020</v>
          </cell>
          <cell r="C726">
            <v>1003</v>
          </cell>
          <cell r="D726" t="str">
            <v>Msfrutas Vermelhas 300 ml</v>
          </cell>
          <cell r="E726">
            <v>3.7882596199999994</v>
          </cell>
          <cell r="F726">
            <v>13.626833165467623</v>
          </cell>
          <cell r="G726">
            <v>16.617693023011959</v>
          </cell>
          <cell r="H726">
            <v>216000016</v>
          </cell>
          <cell r="I726" t="str">
            <v>Leite Integral</v>
          </cell>
          <cell r="J726">
            <v>0.12</v>
          </cell>
          <cell r="K726">
            <v>0.03</v>
          </cell>
          <cell r="L726" t="str">
            <v>Lt</v>
          </cell>
          <cell r="M726">
            <v>4</v>
          </cell>
        </row>
        <row r="727">
          <cell r="H727">
            <v>210100001</v>
          </cell>
          <cell r="I727" t="str">
            <v>Bebida Láctea Uht (Baunilha)</v>
          </cell>
          <cell r="J727">
            <v>1.93157622</v>
          </cell>
          <cell r="K727">
            <v>0.17699999999999999</v>
          </cell>
          <cell r="L727" t="str">
            <v>Lt</v>
          </cell>
          <cell r="M727">
            <v>10.91286</v>
          </cell>
        </row>
        <row r="728">
          <cell r="H728">
            <v>216099999</v>
          </cell>
          <cell r="I728" t="str">
            <v>Mescla de Frutas Vermelhas</v>
          </cell>
          <cell r="J728">
            <v>1.0803</v>
          </cell>
          <cell r="K728">
            <v>0.03</v>
          </cell>
          <cell r="L728" t="str">
            <v>Kg</v>
          </cell>
          <cell r="M728">
            <v>36.010000000000005</v>
          </cell>
        </row>
        <row r="729">
          <cell r="H729">
            <v>210200030</v>
          </cell>
          <cell r="I729" t="str">
            <v>Copo 330 ml Milk Shake</v>
          </cell>
          <cell r="J729">
            <v>0.2827461</v>
          </cell>
          <cell r="K729">
            <v>1</v>
          </cell>
          <cell r="L729" t="str">
            <v>Un</v>
          </cell>
          <cell r="M729">
            <v>0.2827461</v>
          </cell>
        </row>
        <row r="730">
          <cell r="H730">
            <v>210200049</v>
          </cell>
          <cell r="I730" t="str">
            <v>Tampa 330 ml Milk Shake</v>
          </cell>
          <cell r="J730">
            <v>0.17523</v>
          </cell>
          <cell r="K730">
            <v>1</v>
          </cell>
          <cell r="L730" t="str">
            <v>Un</v>
          </cell>
          <cell r="M730">
            <v>0.17523</v>
          </cell>
        </row>
        <row r="731">
          <cell r="H731">
            <v>220100008</v>
          </cell>
          <cell r="I731" t="str">
            <v>Guardanapo Embalado</v>
          </cell>
          <cell r="J731">
            <v>7.1500000000000008E-2</v>
          </cell>
          <cell r="K731">
            <v>1</v>
          </cell>
          <cell r="L731" t="str">
            <v>Un</v>
          </cell>
          <cell r="M731">
            <v>7.1500000000000008E-2</v>
          </cell>
        </row>
        <row r="732">
          <cell r="H732">
            <v>210200021</v>
          </cell>
          <cell r="I732" t="str">
            <v>Canudo para Milk Shake 10 mm</v>
          </cell>
          <cell r="J732">
            <v>0.12690729999999997</v>
          </cell>
          <cell r="K732">
            <v>1</v>
          </cell>
          <cell r="L732" t="str">
            <v>Un</v>
          </cell>
          <cell r="M732">
            <v>0.12690729999999997</v>
          </cell>
        </row>
        <row r="733">
          <cell r="B733">
            <v>100300027</v>
          </cell>
          <cell r="C733">
            <v>1003</v>
          </cell>
          <cell r="D733" t="str">
            <v>MsChocolate Branco 300 ml</v>
          </cell>
          <cell r="E733">
            <v>3.4502596200000002</v>
          </cell>
          <cell r="F733">
            <v>12.41100582733813</v>
          </cell>
          <cell r="G733">
            <v>15.45184934540292</v>
          </cell>
          <cell r="H733">
            <v>216000016</v>
          </cell>
          <cell r="I733" t="str">
            <v>Leite Integral</v>
          </cell>
          <cell r="J733">
            <v>0.12</v>
          </cell>
          <cell r="K733">
            <v>0.03</v>
          </cell>
          <cell r="L733" t="str">
            <v>Lt</v>
          </cell>
          <cell r="M733">
            <v>4</v>
          </cell>
        </row>
        <row r="734">
          <cell r="H734">
            <v>210100001</v>
          </cell>
          <cell r="I734" t="str">
            <v>Bebida Láctea Uht (Baunilha)</v>
          </cell>
          <cell r="J734">
            <v>1.93157622</v>
          </cell>
          <cell r="K734">
            <v>0.17699999999999999</v>
          </cell>
          <cell r="L734" t="str">
            <v>Lt</v>
          </cell>
          <cell r="M734">
            <v>10.91286</v>
          </cell>
        </row>
        <row r="735">
          <cell r="H735">
            <v>210900006</v>
          </cell>
          <cell r="I735" t="str">
            <v>Stracciatella Branca</v>
          </cell>
          <cell r="J735">
            <v>0.74230000000000018</v>
          </cell>
          <cell r="K735">
            <v>0.02</v>
          </cell>
          <cell r="L735" t="str">
            <v>Kg</v>
          </cell>
          <cell r="M735">
            <v>37.115000000000009</v>
          </cell>
        </row>
        <row r="736">
          <cell r="H736">
            <v>210200030</v>
          </cell>
          <cell r="I736" t="str">
            <v>Copo 330 ml Milk Shake</v>
          </cell>
          <cell r="J736">
            <v>0.2827461</v>
          </cell>
          <cell r="K736">
            <v>1</v>
          </cell>
          <cell r="L736" t="str">
            <v>Un</v>
          </cell>
          <cell r="M736">
            <v>0.2827461</v>
          </cell>
        </row>
        <row r="737">
          <cell r="H737">
            <v>210200049</v>
          </cell>
          <cell r="I737" t="str">
            <v>Tampa 330 ml Milk Shake</v>
          </cell>
          <cell r="J737">
            <v>0.17523</v>
          </cell>
          <cell r="K737">
            <v>1</v>
          </cell>
          <cell r="L737" t="str">
            <v>Un</v>
          </cell>
          <cell r="M737">
            <v>0.17523</v>
          </cell>
        </row>
        <row r="738">
          <cell r="H738">
            <v>220100008</v>
          </cell>
          <cell r="I738" t="str">
            <v>Guardanapo Embalado</v>
          </cell>
          <cell r="J738">
            <v>7.1500000000000008E-2</v>
          </cell>
          <cell r="K738">
            <v>1</v>
          </cell>
          <cell r="L738" t="str">
            <v>Un</v>
          </cell>
          <cell r="M738">
            <v>7.1500000000000008E-2</v>
          </cell>
        </row>
        <row r="739">
          <cell r="H739">
            <v>210200021</v>
          </cell>
          <cell r="I739" t="str">
            <v>Canudo para Milk Shake 10 mm</v>
          </cell>
          <cell r="J739">
            <v>0.12690729999999997</v>
          </cell>
          <cell r="K739">
            <v>1</v>
          </cell>
          <cell r="L739" t="str">
            <v>Un</v>
          </cell>
          <cell r="M739">
            <v>0.12690729999999997</v>
          </cell>
        </row>
        <row r="740">
          <cell r="B740">
            <v>100300031</v>
          </cell>
          <cell r="C740">
            <v>1003</v>
          </cell>
          <cell r="D740" t="str">
            <v>MsMaracuja 300 ml</v>
          </cell>
          <cell r="E740">
            <v>3.1118881914285716</v>
          </cell>
          <cell r="F740">
            <v>11.193842415210689</v>
          </cell>
          <cell r="G740">
            <v>14.284724520895407</v>
          </cell>
          <cell r="H740">
            <v>216000016</v>
          </cell>
          <cell r="I740" t="str">
            <v>Leite Integral</v>
          </cell>
          <cell r="J740">
            <v>0.12</v>
          </cell>
          <cell r="K740">
            <v>0.03</v>
          </cell>
          <cell r="L740" t="str">
            <v>Lt</v>
          </cell>
          <cell r="M740">
            <v>4</v>
          </cell>
        </row>
        <row r="741">
          <cell r="H741">
            <v>210100001</v>
          </cell>
          <cell r="I741" t="str">
            <v>Bebida Láctea Uht (Baunilha)</v>
          </cell>
          <cell r="J741">
            <v>1.93157622</v>
          </cell>
          <cell r="K741">
            <v>0.17699999999999999</v>
          </cell>
          <cell r="L741" t="str">
            <v>Lt</v>
          </cell>
          <cell r="M741">
            <v>10.91286</v>
          </cell>
        </row>
        <row r="742">
          <cell r="H742">
            <v>210400015</v>
          </cell>
          <cell r="I742" t="str">
            <v>Mescla de Maracujá</v>
          </cell>
          <cell r="J742">
            <v>0.40392857142857147</v>
          </cell>
          <cell r="K742">
            <v>1.4999999999999999E-2</v>
          </cell>
          <cell r="L742" t="str">
            <v>Kg</v>
          </cell>
          <cell r="M742">
            <v>26.928571428571431</v>
          </cell>
        </row>
        <row r="743">
          <cell r="H743">
            <v>210200030</v>
          </cell>
          <cell r="I743" t="str">
            <v>Copo 330 ml Milk Shake</v>
          </cell>
          <cell r="J743">
            <v>0.2827461</v>
          </cell>
          <cell r="K743">
            <v>1</v>
          </cell>
          <cell r="L743" t="str">
            <v>Un</v>
          </cell>
          <cell r="M743">
            <v>0.2827461</v>
          </cell>
        </row>
        <row r="744">
          <cell r="H744">
            <v>210200049</v>
          </cell>
          <cell r="I744" t="str">
            <v>Tampa 330 ml Milk Shake</v>
          </cell>
          <cell r="J744">
            <v>0.17523</v>
          </cell>
          <cell r="K744">
            <v>1</v>
          </cell>
          <cell r="L744" t="str">
            <v>Un</v>
          </cell>
          <cell r="M744">
            <v>0.17523</v>
          </cell>
        </row>
        <row r="745">
          <cell r="H745">
            <v>220100008</v>
          </cell>
          <cell r="I745" t="str">
            <v>Guardanapo Embalado</v>
          </cell>
          <cell r="J745">
            <v>7.1500000000000008E-2</v>
          </cell>
          <cell r="K745">
            <v>1</v>
          </cell>
          <cell r="L745" t="str">
            <v>Un</v>
          </cell>
          <cell r="M745">
            <v>7.1500000000000008E-2</v>
          </cell>
        </row>
        <row r="746">
          <cell r="H746">
            <v>210200021</v>
          </cell>
          <cell r="I746" t="str">
            <v>Canudo para Milk Shake 10 mm</v>
          </cell>
          <cell r="J746">
            <v>0.12690729999999997</v>
          </cell>
          <cell r="K746">
            <v>1</v>
          </cell>
          <cell r="L746" t="str">
            <v>Un</v>
          </cell>
          <cell r="M746">
            <v>0.12690729999999997</v>
          </cell>
        </row>
        <row r="747">
          <cell r="B747">
            <v>100300035</v>
          </cell>
          <cell r="C747">
            <v>1003</v>
          </cell>
          <cell r="D747" t="str">
            <v>Msmorango 300 ml</v>
          </cell>
          <cell r="E747">
            <v>3.6740453342857138</v>
          </cell>
          <cell r="F747">
            <v>13.215990411099689</v>
          </cell>
          <cell r="G747">
            <v>16.223740351731983</v>
          </cell>
          <cell r="H747">
            <v>210400016</v>
          </cell>
          <cell r="I747" t="str">
            <v>Mescla de Morango</v>
          </cell>
          <cell r="J747">
            <v>0.96608571428571421</v>
          </cell>
          <cell r="K747">
            <v>0.03</v>
          </cell>
          <cell r="L747" t="str">
            <v>Kg</v>
          </cell>
          <cell r="M747">
            <v>32.202857142857141</v>
          </cell>
        </row>
        <row r="748">
          <cell r="H748">
            <v>216000016</v>
          </cell>
          <cell r="I748" t="str">
            <v>Leite Integral</v>
          </cell>
          <cell r="J748">
            <v>0.12</v>
          </cell>
          <cell r="K748">
            <v>0.03</v>
          </cell>
          <cell r="L748" t="str">
            <v>Lt</v>
          </cell>
          <cell r="M748">
            <v>4</v>
          </cell>
        </row>
        <row r="749">
          <cell r="H749">
            <v>210100001</v>
          </cell>
          <cell r="I749" t="str">
            <v>Bebida Láctea Uht (Baunilha)</v>
          </cell>
          <cell r="J749">
            <v>1.93157622</v>
          </cell>
          <cell r="K749">
            <v>0.17699999999999999</v>
          </cell>
          <cell r="L749" t="str">
            <v>Lt</v>
          </cell>
          <cell r="M749">
            <v>10.91286</v>
          </cell>
        </row>
        <row r="750">
          <cell r="H750">
            <v>210200030</v>
          </cell>
          <cell r="I750" t="str">
            <v>Copo 330 ml Milk Shake</v>
          </cell>
          <cell r="J750">
            <v>0.2827461</v>
          </cell>
          <cell r="K750">
            <v>1</v>
          </cell>
          <cell r="L750" t="str">
            <v>Un</v>
          </cell>
          <cell r="M750">
            <v>0.2827461</v>
          </cell>
        </row>
        <row r="751">
          <cell r="H751">
            <v>210200049</v>
          </cell>
          <cell r="I751" t="str">
            <v>Tampa 330 ml Milk Shake</v>
          </cell>
          <cell r="J751">
            <v>0.17523</v>
          </cell>
          <cell r="K751">
            <v>1</v>
          </cell>
          <cell r="L751" t="str">
            <v>Un</v>
          </cell>
          <cell r="M751">
            <v>0.17523</v>
          </cell>
        </row>
        <row r="752">
          <cell r="H752">
            <v>220100008</v>
          </cell>
          <cell r="I752" t="str">
            <v>Guardanapo Embalado</v>
          </cell>
          <cell r="J752">
            <v>7.1500000000000008E-2</v>
          </cell>
          <cell r="K752">
            <v>1</v>
          </cell>
          <cell r="L752" t="str">
            <v>Un</v>
          </cell>
          <cell r="M752">
            <v>7.1500000000000008E-2</v>
          </cell>
        </row>
        <row r="753">
          <cell r="H753">
            <v>210200021</v>
          </cell>
          <cell r="I753" t="str">
            <v>Canudo para Milk Shake 10 mm</v>
          </cell>
          <cell r="J753">
            <v>0.12690729999999997</v>
          </cell>
          <cell r="K753">
            <v>1</v>
          </cell>
          <cell r="L753" t="str">
            <v>Un</v>
          </cell>
          <cell r="M753">
            <v>0.12690729999999997</v>
          </cell>
        </row>
        <row r="754">
          <cell r="B754">
            <v>100300042</v>
          </cell>
          <cell r="C754">
            <v>1003</v>
          </cell>
          <cell r="D754" t="str">
            <v>MsBombom de Morango 300 ml</v>
          </cell>
          <cell r="E754">
            <v>4.2909603342857148</v>
          </cell>
          <cell r="F754">
            <v>15.435109116135663</v>
          </cell>
          <cell r="G754">
            <v>18.351629264075719</v>
          </cell>
          <cell r="H754">
            <v>210400016</v>
          </cell>
          <cell r="I754" t="str">
            <v>Mescla de Morango</v>
          </cell>
          <cell r="J754">
            <v>0.96608571428571421</v>
          </cell>
          <cell r="K754">
            <v>0.03</v>
          </cell>
          <cell r="L754" t="str">
            <v>Kg</v>
          </cell>
          <cell r="M754">
            <v>32.202857142857141</v>
          </cell>
        </row>
        <row r="755">
          <cell r="H755">
            <v>216000016</v>
          </cell>
          <cell r="I755" t="str">
            <v>Leite Integral</v>
          </cell>
          <cell r="J755">
            <v>0.12</v>
          </cell>
          <cell r="K755">
            <v>0.03</v>
          </cell>
          <cell r="L755" t="str">
            <v>Lt</v>
          </cell>
          <cell r="M755">
            <v>4</v>
          </cell>
        </row>
        <row r="756">
          <cell r="H756">
            <v>210100001</v>
          </cell>
          <cell r="I756" t="str">
            <v>Bebida Láctea Uht (Baunilha)</v>
          </cell>
          <cell r="J756">
            <v>1.93157622</v>
          </cell>
          <cell r="K756">
            <v>0.17699999999999999</v>
          </cell>
          <cell r="L756" t="str">
            <v>Lt</v>
          </cell>
          <cell r="M756">
            <v>10.91286</v>
          </cell>
        </row>
        <row r="757">
          <cell r="H757">
            <v>210900005</v>
          </cell>
          <cell r="I757" t="str">
            <v>Stracciatella Meio Amarga</v>
          </cell>
          <cell r="J757">
            <v>0.61691499999999999</v>
          </cell>
          <cell r="K757">
            <v>0.02</v>
          </cell>
          <cell r="L757" t="str">
            <v>Kg</v>
          </cell>
          <cell r="M757">
            <v>30.845749999999999</v>
          </cell>
        </row>
        <row r="758">
          <cell r="H758">
            <v>210200030</v>
          </cell>
          <cell r="I758" t="str">
            <v>Copo 330 ml Milk Shake</v>
          </cell>
          <cell r="J758">
            <v>0.2827461</v>
          </cell>
          <cell r="K758">
            <v>1</v>
          </cell>
          <cell r="L758" t="str">
            <v>Un</v>
          </cell>
          <cell r="M758">
            <v>0.2827461</v>
          </cell>
        </row>
        <row r="759">
          <cell r="H759">
            <v>210200049</v>
          </cell>
          <cell r="I759" t="str">
            <v>Tampa 330 ml Milk Shake</v>
          </cell>
          <cell r="J759">
            <v>0.17523</v>
          </cell>
          <cell r="K759">
            <v>1</v>
          </cell>
          <cell r="L759" t="str">
            <v>Un</v>
          </cell>
          <cell r="M759">
            <v>0.17523</v>
          </cell>
        </row>
        <row r="760">
          <cell r="H760">
            <v>220100008</v>
          </cell>
          <cell r="I760" t="str">
            <v>Guardanapo Embalado</v>
          </cell>
          <cell r="J760">
            <v>7.1500000000000008E-2</v>
          </cell>
          <cell r="K760">
            <v>1</v>
          </cell>
          <cell r="L760" t="str">
            <v>Un</v>
          </cell>
          <cell r="M760">
            <v>7.1500000000000008E-2</v>
          </cell>
        </row>
        <row r="761">
          <cell r="H761">
            <v>210200021</v>
          </cell>
          <cell r="I761" t="str">
            <v>Canudo para Milk Shake 10 mm</v>
          </cell>
          <cell r="J761">
            <v>0.12690729999999997</v>
          </cell>
          <cell r="K761">
            <v>1</v>
          </cell>
          <cell r="L761" t="str">
            <v>Un</v>
          </cell>
          <cell r="M761">
            <v>0.12690729999999997</v>
          </cell>
        </row>
        <row r="762">
          <cell r="B762">
            <v>100300005</v>
          </cell>
          <cell r="C762">
            <v>1003</v>
          </cell>
          <cell r="D762" t="str">
            <v>Msbrigadeiro 300 ml</v>
          </cell>
          <cell r="E762">
            <v>3.1327120952475247</v>
          </cell>
          <cell r="F762">
            <v>11.268748544055843</v>
          </cell>
          <cell r="G762">
            <v>14.356551197257733</v>
          </cell>
          <cell r="H762">
            <v>216000016</v>
          </cell>
          <cell r="I762" t="str">
            <v>Leite Integral</v>
          </cell>
          <cell r="J762">
            <v>0.12</v>
          </cell>
          <cell r="K762">
            <v>0.03</v>
          </cell>
          <cell r="L762" t="str">
            <v>Lt</v>
          </cell>
          <cell r="M762">
            <v>4</v>
          </cell>
        </row>
        <row r="763">
          <cell r="H763">
            <v>210100002</v>
          </cell>
          <cell r="I763" t="str">
            <v>Bebida Láctea Uht (Chocolate)</v>
          </cell>
          <cell r="J763">
            <v>1.93157622</v>
          </cell>
          <cell r="K763">
            <v>0.17699999999999999</v>
          </cell>
          <cell r="L763" t="str">
            <v>LT</v>
          </cell>
          <cell r="M763">
            <v>10.91286</v>
          </cell>
        </row>
        <row r="764">
          <cell r="H764">
            <v>210900009</v>
          </cell>
          <cell r="I764" t="str">
            <v>Chocolate Granulado</v>
          </cell>
          <cell r="J764">
            <v>0.42475247524752474</v>
          </cell>
          <cell r="K764">
            <v>0.02</v>
          </cell>
          <cell r="L764" t="str">
            <v>Kg</v>
          </cell>
          <cell r="M764">
            <v>21.237623762376238</v>
          </cell>
        </row>
        <row r="765">
          <cell r="H765">
            <v>210200030</v>
          </cell>
          <cell r="I765" t="str">
            <v>Copo 330 ml Milk Shake</v>
          </cell>
          <cell r="J765">
            <v>0.2827461</v>
          </cell>
          <cell r="K765">
            <v>1</v>
          </cell>
          <cell r="L765" t="str">
            <v>Un</v>
          </cell>
          <cell r="M765">
            <v>0.2827461</v>
          </cell>
        </row>
        <row r="766">
          <cell r="H766">
            <v>210200049</v>
          </cell>
          <cell r="I766" t="str">
            <v>Tampa 330 ml Milk Shake</v>
          </cell>
          <cell r="J766">
            <v>0.17523</v>
          </cell>
          <cell r="K766">
            <v>1</v>
          </cell>
          <cell r="L766" t="str">
            <v>Un</v>
          </cell>
          <cell r="M766">
            <v>0.17523</v>
          </cell>
        </row>
        <row r="767">
          <cell r="H767">
            <v>220100008</v>
          </cell>
          <cell r="I767" t="str">
            <v>Guardanapo Embalado</v>
          </cell>
          <cell r="J767">
            <v>7.1500000000000008E-2</v>
          </cell>
          <cell r="K767">
            <v>1</v>
          </cell>
          <cell r="L767" t="str">
            <v>Un</v>
          </cell>
          <cell r="M767">
            <v>7.1500000000000008E-2</v>
          </cell>
        </row>
        <row r="768">
          <cell r="H768">
            <v>210200021</v>
          </cell>
          <cell r="I768" t="str">
            <v>Canudo para Milk Shake 10 mm</v>
          </cell>
          <cell r="J768">
            <v>0.12690729999999997</v>
          </cell>
          <cell r="K768">
            <v>1</v>
          </cell>
          <cell r="L768" t="str">
            <v>Un</v>
          </cell>
          <cell r="M768">
            <v>0.12690729999999997</v>
          </cell>
        </row>
        <row r="769">
          <cell r="B769">
            <v>100300006</v>
          </cell>
          <cell r="C769">
            <v>1003</v>
          </cell>
          <cell r="D769" t="str">
            <v>Mscappuccino 300 ml</v>
          </cell>
          <cell r="E769">
            <v>3.5709646199999994</v>
          </cell>
          <cell r="F769">
            <v>12.84519647482014</v>
          </cell>
          <cell r="G769">
            <v>15.868190058733685</v>
          </cell>
          <cell r="H769">
            <v>216000016</v>
          </cell>
          <cell r="I769" t="str">
            <v>Leite Integral</v>
          </cell>
          <cell r="J769">
            <v>0.12</v>
          </cell>
          <cell r="K769">
            <v>0.03</v>
          </cell>
          <cell r="L769" t="str">
            <v>Lt</v>
          </cell>
          <cell r="M769">
            <v>4</v>
          </cell>
        </row>
        <row r="770">
          <cell r="H770">
            <v>210100001</v>
          </cell>
          <cell r="I770" t="str">
            <v>Bebida Láctea Uht (Baunilha)</v>
          </cell>
          <cell r="J770">
            <v>1.93157622</v>
          </cell>
          <cell r="K770">
            <v>0.17699999999999999</v>
          </cell>
          <cell r="L770" t="str">
            <v>LT</v>
          </cell>
          <cell r="M770">
            <v>10.91286</v>
          </cell>
        </row>
        <row r="771">
          <cell r="H771">
            <v>216000023</v>
          </cell>
          <cell r="I771" t="str">
            <v>Cappuccino</v>
          </cell>
          <cell r="J771">
            <v>0.86300500000000002</v>
          </cell>
          <cell r="K771">
            <v>1.2999999999999999E-2</v>
          </cell>
          <cell r="L771" t="str">
            <v>Lt</v>
          </cell>
          <cell r="M771">
            <v>66.385000000000005</v>
          </cell>
        </row>
        <row r="772">
          <cell r="H772">
            <v>210200030</v>
          </cell>
          <cell r="I772" t="str">
            <v>Copo 330 ml Milk Shake</v>
          </cell>
          <cell r="J772">
            <v>0.2827461</v>
          </cell>
          <cell r="K772">
            <v>1</v>
          </cell>
          <cell r="L772" t="str">
            <v>Un</v>
          </cell>
          <cell r="M772">
            <v>0.2827461</v>
          </cell>
        </row>
        <row r="773">
          <cell r="H773">
            <v>210200049</v>
          </cell>
          <cell r="I773" t="str">
            <v>Tampa 330 ml Milk Shake</v>
          </cell>
          <cell r="J773">
            <v>0.17523</v>
          </cell>
          <cell r="K773">
            <v>1</v>
          </cell>
          <cell r="L773" t="str">
            <v>Un</v>
          </cell>
          <cell r="M773">
            <v>0.17523</v>
          </cell>
        </row>
        <row r="774">
          <cell r="H774">
            <v>220100008</v>
          </cell>
          <cell r="I774" t="str">
            <v>Guardanapo Embalado</v>
          </cell>
          <cell r="J774">
            <v>7.1500000000000008E-2</v>
          </cell>
          <cell r="K774">
            <v>1</v>
          </cell>
          <cell r="L774" t="str">
            <v>Un</v>
          </cell>
          <cell r="M774">
            <v>7.1500000000000008E-2</v>
          </cell>
        </row>
        <row r="775">
          <cell r="H775">
            <v>210200021</v>
          </cell>
          <cell r="I775" t="str">
            <v>Canudo para Milk Shake 10 mm</v>
          </cell>
          <cell r="J775">
            <v>0.12690729999999997</v>
          </cell>
          <cell r="K775">
            <v>1</v>
          </cell>
          <cell r="L775" t="str">
            <v>Un</v>
          </cell>
          <cell r="M775">
            <v>0.12690729999999997</v>
          </cell>
        </row>
        <row r="776">
          <cell r="B776">
            <v>100300046</v>
          </cell>
          <cell r="C776">
            <v>1003</v>
          </cell>
          <cell r="D776" t="str">
            <v>MsMousse de Chocolate 300 ml</v>
          </cell>
          <cell r="E776">
            <v>3.3622533699999999</v>
          </cell>
          <cell r="F776">
            <v>12.094436582733811</v>
          </cell>
          <cell r="G776">
            <v>15.148294522466291</v>
          </cell>
          <cell r="H776">
            <v>216000015</v>
          </cell>
          <cell r="I776" t="str">
            <v>Doce de Leite</v>
          </cell>
          <cell r="J776">
            <v>0.65429375000000001</v>
          </cell>
          <cell r="K776">
            <v>0.03</v>
          </cell>
          <cell r="L776" t="str">
            <v>Kg</v>
          </cell>
          <cell r="M776">
            <v>21.809791666666669</v>
          </cell>
        </row>
        <row r="777">
          <cell r="H777">
            <v>216000016</v>
          </cell>
          <cell r="I777" t="str">
            <v>Leite Integral</v>
          </cell>
          <cell r="J777">
            <v>0.12</v>
          </cell>
          <cell r="K777">
            <v>0.03</v>
          </cell>
          <cell r="L777" t="str">
            <v>Lt</v>
          </cell>
          <cell r="M777">
            <v>4</v>
          </cell>
        </row>
        <row r="778">
          <cell r="H778">
            <v>210100002</v>
          </cell>
          <cell r="I778" t="str">
            <v>Bebida Láctea Uht (Chocolate)</v>
          </cell>
          <cell r="J778">
            <v>1.93157622</v>
          </cell>
          <cell r="K778">
            <v>0.17699999999999999</v>
          </cell>
          <cell r="L778" t="str">
            <v>Lt</v>
          </cell>
          <cell r="M778">
            <v>10.91286</v>
          </cell>
        </row>
        <row r="779">
          <cell r="H779">
            <v>210200030</v>
          </cell>
          <cell r="I779" t="str">
            <v>Copo 330 ml Milk Shake</v>
          </cell>
          <cell r="J779">
            <v>0.2827461</v>
          </cell>
          <cell r="K779">
            <v>1</v>
          </cell>
          <cell r="L779" t="str">
            <v>Un</v>
          </cell>
          <cell r="M779">
            <v>0.2827461</v>
          </cell>
        </row>
        <row r="780">
          <cell r="H780">
            <v>210200049</v>
          </cell>
          <cell r="I780" t="str">
            <v>Tampa 330 ml Milk Shake</v>
          </cell>
          <cell r="J780">
            <v>0.17523</v>
          </cell>
          <cell r="K780">
            <v>1</v>
          </cell>
          <cell r="L780" t="str">
            <v>Un</v>
          </cell>
          <cell r="M780">
            <v>0.17523</v>
          </cell>
        </row>
        <row r="781">
          <cell r="H781">
            <v>220100008</v>
          </cell>
          <cell r="I781" t="str">
            <v>Guardanapo Embalado</v>
          </cell>
          <cell r="J781">
            <v>7.1500000000000008E-2</v>
          </cell>
          <cell r="K781">
            <v>1</v>
          </cell>
          <cell r="L781" t="str">
            <v>Un</v>
          </cell>
          <cell r="M781">
            <v>7.1500000000000008E-2</v>
          </cell>
        </row>
        <row r="782">
          <cell r="H782">
            <v>210200021</v>
          </cell>
          <cell r="I782" t="str">
            <v>Canudo para Milk Shake 10 mm</v>
          </cell>
          <cell r="J782">
            <v>0.12690729999999997</v>
          </cell>
          <cell r="K782">
            <v>1</v>
          </cell>
          <cell r="L782" t="str">
            <v>Un</v>
          </cell>
          <cell r="M782">
            <v>0.12690729999999997</v>
          </cell>
        </row>
        <row r="783">
          <cell r="B783">
            <v>100300011</v>
          </cell>
          <cell r="C783">
            <v>1003</v>
          </cell>
          <cell r="D783" t="str">
            <v>MsChocolate 300 ml</v>
          </cell>
          <cell r="E783">
            <v>2.70795962</v>
          </cell>
          <cell r="F783">
            <v>9.7408619424460419</v>
          </cell>
          <cell r="G783">
            <v>12.89147726880768</v>
          </cell>
          <cell r="H783">
            <v>210100002</v>
          </cell>
          <cell r="I783" t="str">
            <v>Bebida Láctea Uht (Chocolate)</v>
          </cell>
          <cell r="J783">
            <v>1.93157622</v>
          </cell>
          <cell r="K783">
            <v>0.17699999999999999</v>
          </cell>
          <cell r="L783" t="str">
            <v>Lt</v>
          </cell>
          <cell r="M783">
            <v>10.91286</v>
          </cell>
        </row>
        <row r="784">
          <cell r="H784">
            <v>210200021</v>
          </cell>
          <cell r="I784" t="str">
            <v>Canudo para Milk Shake 10 mm</v>
          </cell>
          <cell r="J784">
            <v>0.12690729999999997</v>
          </cell>
          <cell r="K784">
            <v>1</v>
          </cell>
          <cell r="L784" t="str">
            <v>Un</v>
          </cell>
          <cell r="M784">
            <v>0.12690729999999997</v>
          </cell>
        </row>
        <row r="785">
          <cell r="H785">
            <v>210200030</v>
          </cell>
          <cell r="I785" t="str">
            <v>Copo 330 ml Milk Shake</v>
          </cell>
          <cell r="J785">
            <v>0.2827461</v>
          </cell>
          <cell r="K785">
            <v>1</v>
          </cell>
          <cell r="L785" t="str">
            <v>Un</v>
          </cell>
          <cell r="M785">
            <v>0.2827461</v>
          </cell>
        </row>
        <row r="786">
          <cell r="H786">
            <v>216000016</v>
          </cell>
          <cell r="I786" t="str">
            <v>Leite Integral</v>
          </cell>
          <cell r="J786">
            <v>0.12</v>
          </cell>
          <cell r="K786">
            <v>0.03</v>
          </cell>
          <cell r="L786" t="str">
            <v>Lt</v>
          </cell>
          <cell r="M786">
            <v>4</v>
          </cell>
        </row>
        <row r="787">
          <cell r="H787">
            <v>220100008</v>
          </cell>
          <cell r="I787" t="str">
            <v>Guardanapo Embalado</v>
          </cell>
          <cell r="J787">
            <v>7.1500000000000008E-2</v>
          </cell>
          <cell r="K787">
            <v>1</v>
          </cell>
          <cell r="L787" t="str">
            <v>un</v>
          </cell>
          <cell r="M787">
            <v>7.1500000000000008E-2</v>
          </cell>
        </row>
        <row r="788">
          <cell r="H788">
            <v>210200049</v>
          </cell>
          <cell r="I788" t="str">
            <v>Tampa 330 ml Milk Shake</v>
          </cell>
          <cell r="J788">
            <v>0.17523</v>
          </cell>
          <cell r="K788">
            <v>1</v>
          </cell>
          <cell r="L788" t="str">
            <v>Un</v>
          </cell>
          <cell r="M788">
            <v>0.17523</v>
          </cell>
        </row>
        <row r="789">
          <cell r="B789">
            <v>100300012</v>
          </cell>
          <cell r="C789">
            <v>1003</v>
          </cell>
          <cell r="D789" t="str">
            <v>MsChocoMenta 300 ml</v>
          </cell>
          <cell r="E789">
            <v>3.7304746200000003</v>
          </cell>
          <cell r="F789">
            <v>13.41897345323741</v>
          </cell>
          <cell r="G789">
            <v>16.418378594282263</v>
          </cell>
          <cell r="H789">
            <v>216000032</v>
          </cell>
          <cell r="I789" t="str">
            <v>Creme de Menta</v>
          </cell>
          <cell r="J789">
            <v>0.40559999999999996</v>
          </cell>
          <cell r="K789">
            <v>6.0000000000000001E-3</v>
          </cell>
          <cell r="L789" t="str">
            <v>Kg</v>
          </cell>
          <cell r="M789">
            <v>67.599999999999994</v>
          </cell>
        </row>
        <row r="790">
          <cell r="H790">
            <v>216000016</v>
          </cell>
          <cell r="I790" t="str">
            <v>Leite Integral</v>
          </cell>
          <cell r="J790">
            <v>0.12</v>
          </cell>
          <cell r="K790">
            <v>0.03</v>
          </cell>
          <cell r="L790" t="str">
            <v>Lt</v>
          </cell>
          <cell r="M790">
            <v>4</v>
          </cell>
        </row>
        <row r="791">
          <cell r="H791">
            <v>210100001</v>
          </cell>
          <cell r="I791" t="str">
            <v>Bebida Láctea Uht (Baunilha)</v>
          </cell>
          <cell r="J791">
            <v>1.93157622</v>
          </cell>
          <cell r="K791">
            <v>0.17699999999999999</v>
          </cell>
          <cell r="L791" t="str">
            <v>Lt</v>
          </cell>
          <cell r="M791">
            <v>10.91286</v>
          </cell>
        </row>
        <row r="792">
          <cell r="H792">
            <v>210900005</v>
          </cell>
          <cell r="I792" t="str">
            <v>Stracciatella Meio Amarga</v>
          </cell>
          <cell r="J792">
            <v>0.61691499999999999</v>
          </cell>
          <cell r="K792">
            <v>0.02</v>
          </cell>
          <cell r="L792" t="str">
            <v>Kg</v>
          </cell>
          <cell r="M792">
            <v>30.845749999999999</v>
          </cell>
        </row>
        <row r="793">
          <cell r="H793">
            <v>210200030</v>
          </cell>
          <cell r="I793" t="str">
            <v>Copo 330 ml Milk Shake</v>
          </cell>
          <cell r="J793">
            <v>0.2827461</v>
          </cell>
          <cell r="K793">
            <v>1</v>
          </cell>
          <cell r="L793" t="str">
            <v>Un</v>
          </cell>
          <cell r="M793">
            <v>0.2827461</v>
          </cell>
        </row>
        <row r="794">
          <cell r="H794">
            <v>210200049</v>
          </cell>
          <cell r="I794" t="str">
            <v>Tampa 330 ml Milk Shake</v>
          </cell>
          <cell r="J794">
            <v>0.17523</v>
          </cell>
          <cell r="K794">
            <v>1</v>
          </cell>
          <cell r="L794" t="str">
            <v>Un</v>
          </cell>
          <cell r="M794">
            <v>0.17523</v>
          </cell>
        </row>
        <row r="795">
          <cell r="H795">
            <v>220100008</v>
          </cell>
          <cell r="I795" t="str">
            <v>Guardanapo Embalado</v>
          </cell>
          <cell r="J795">
            <v>7.1500000000000008E-2</v>
          </cell>
          <cell r="K795">
            <v>1</v>
          </cell>
          <cell r="L795" t="str">
            <v>Un</v>
          </cell>
          <cell r="M795">
            <v>7.1500000000000008E-2</v>
          </cell>
        </row>
        <row r="796">
          <cell r="H796">
            <v>210200021</v>
          </cell>
          <cell r="I796" t="str">
            <v>Canudo para Milk Shake 10 mm</v>
          </cell>
          <cell r="J796">
            <v>0.12690729999999997</v>
          </cell>
          <cell r="K796">
            <v>1</v>
          </cell>
          <cell r="L796" t="str">
            <v>Un</v>
          </cell>
          <cell r="M796">
            <v>0.12690729999999997</v>
          </cell>
        </row>
        <row r="797">
          <cell r="B797">
            <v>100300003</v>
          </cell>
          <cell r="C797">
            <v>1003</v>
          </cell>
          <cell r="D797" t="str">
            <v>MsBaunilha 300 ml</v>
          </cell>
          <cell r="E797">
            <v>2.70795962</v>
          </cell>
          <cell r="F797">
            <v>9.7408619424460419</v>
          </cell>
          <cell r="G797">
            <v>12.89147726880768</v>
          </cell>
          <cell r="H797">
            <v>216000016</v>
          </cell>
          <cell r="I797" t="str">
            <v>Leite Integral</v>
          </cell>
          <cell r="J797">
            <v>0.12</v>
          </cell>
          <cell r="K797">
            <v>0.03</v>
          </cell>
          <cell r="L797" t="str">
            <v>Lt</v>
          </cell>
          <cell r="M797">
            <v>4</v>
          </cell>
        </row>
        <row r="798">
          <cell r="H798">
            <v>210100001</v>
          </cell>
          <cell r="I798" t="str">
            <v>Bebida Láctea Uht (Baunilha)</v>
          </cell>
          <cell r="J798">
            <v>1.93157622</v>
          </cell>
          <cell r="K798">
            <v>0.17699999999999999</v>
          </cell>
          <cell r="L798" t="str">
            <v>Lt</v>
          </cell>
          <cell r="M798">
            <v>10.91286</v>
          </cell>
        </row>
        <row r="799">
          <cell r="H799">
            <v>210200030</v>
          </cell>
          <cell r="I799" t="str">
            <v>Copo 330 ml Milk Shake</v>
          </cell>
          <cell r="J799">
            <v>0.2827461</v>
          </cell>
          <cell r="K799">
            <v>1</v>
          </cell>
          <cell r="L799" t="str">
            <v>Un</v>
          </cell>
          <cell r="M799">
            <v>0.2827461</v>
          </cell>
        </row>
        <row r="800">
          <cell r="H800">
            <v>210200049</v>
          </cell>
          <cell r="I800" t="str">
            <v>Tampa 330 ml Milk Shake</v>
          </cell>
          <cell r="J800">
            <v>0.17523</v>
          </cell>
          <cell r="K800">
            <v>1</v>
          </cell>
          <cell r="L800" t="str">
            <v>Un</v>
          </cell>
          <cell r="M800">
            <v>0.17523</v>
          </cell>
        </row>
        <row r="801">
          <cell r="H801">
            <v>220100008</v>
          </cell>
          <cell r="I801" t="str">
            <v>Guardanapo Embalado</v>
          </cell>
          <cell r="J801">
            <v>7.1500000000000008E-2</v>
          </cell>
          <cell r="K801">
            <v>1</v>
          </cell>
          <cell r="L801" t="str">
            <v>Un</v>
          </cell>
          <cell r="M801">
            <v>7.1500000000000008E-2</v>
          </cell>
        </row>
        <row r="802">
          <cell r="H802">
            <v>210200021</v>
          </cell>
          <cell r="I802" t="str">
            <v>Canudo para Milk Shake 10 mm</v>
          </cell>
          <cell r="J802">
            <v>0.12690729999999997</v>
          </cell>
          <cell r="K802">
            <v>1</v>
          </cell>
          <cell r="L802" t="str">
            <v>Un</v>
          </cell>
          <cell r="M802">
            <v>0.12690729999999997</v>
          </cell>
        </row>
        <row r="803">
          <cell r="B803">
            <v>100300018</v>
          </cell>
          <cell r="C803">
            <v>1003</v>
          </cell>
          <cell r="D803" t="str">
            <v>MsFlocos 300 ml</v>
          </cell>
          <cell r="E803">
            <v>3.3248746199999997</v>
          </cell>
          <cell r="F803">
            <v>11.959980647482013</v>
          </cell>
          <cell r="G803">
            <v>15.019366181151412</v>
          </cell>
          <cell r="H803">
            <v>216000016</v>
          </cell>
          <cell r="I803" t="str">
            <v>Leite Integral</v>
          </cell>
          <cell r="J803">
            <v>0.12</v>
          </cell>
          <cell r="K803">
            <v>0.03</v>
          </cell>
          <cell r="L803" t="str">
            <v>Lt</v>
          </cell>
          <cell r="M803">
            <v>4</v>
          </cell>
        </row>
        <row r="804">
          <cell r="H804">
            <v>210100001</v>
          </cell>
          <cell r="I804" t="str">
            <v>Bebida Láctea Uht (Baunilha)</v>
          </cell>
          <cell r="J804">
            <v>1.93157622</v>
          </cell>
          <cell r="K804">
            <v>0.17699999999999999</v>
          </cell>
          <cell r="L804" t="str">
            <v>Lt</v>
          </cell>
          <cell r="M804">
            <v>10.91286</v>
          </cell>
        </row>
        <row r="805">
          <cell r="H805">
            <v>210900005</v>
          </cell>
          <cell r="I805" t="str">
            <v>Stracciatella Meio Amarga</v>
          </cell>
          <cell r="J805">
            <v>0.61691499999999999</v>
          </cell>
          <cell r="K805">
            <v>0.02</v>
          </cell>
          <cell r="L805" t="str">
            <v>Kg</v>
          </cell>
          <cell r="M805">
            <v>30.845749999999999</v>
          </cell>
        </row>
        <row r="806">
          <cell r="H806">
            <v>210200030</v>
          </cell>
          <cell r="I806" t="str">
            <v>Copo 330 ml Milk Shake</v>
          </cell>
          <cell r="J806">
            <v>0.2827461</v>
          </cell>
          <cell r="K806">
            <v>1</v>
          </cell>
          <cell r="L806" t="str">
            <v>Un</v>
          </cell>
          <cell r="M806">
            <v>0.2827461</v>
          </cell>
        </row>
        <row r="807">
          <cell r="H807">
            <v>210200049</v>
          </cell>
          <cell r="I807" t="str">
            <v>Tampa 330 ml Milk Shake</v>
          </cell>
          <cell r="J807">
            <v>0.17523</v>
          </cell>
          <cell r="K807">
            <v>1</v>
          </cell>
          <cell r="L807" t="str">
            <v>Un</v>
          </cell>
          <cell r="M807">
            <v>0.17523</v>
          </cell>
        </row>
        <row r="808">
          <cell r="H808">
            <v>220100008</v>
          </cell>
          <cell r="I808" t="str">
            <v>Guardanapo Embalado</v>
          </cell>
          <cell r="J808">
            <v>7.1500000000000008E-2</v>
          </cell>
          <cell r="K808">
            <v>1</v>
          </cell>
          <cell r="L808" t="str">
            <v>Un</v>
          </cell>
          <cell r="M808">
            <v>7.1500000000000008E-2</v>
          </cell>
        </row>
        <row r="809">
          <cell r="H809">
            <v>210200021</v>
          </cell>
          <cell r="I809" t="str">
            <v>Canudo para Milk Shake 10 mm</v>
          </cell>
          <cell r="J809">
            <v>0.12690729999999997</v>
          </cell>
          <cell r="K809">
            <v>1</v>
          </cell>
          <cell r="L809" t="str">
            <v>Un</v>
          </cell>
          <cell r="M809">
            <v>0.12690729999999997</v>
          </cell>
        </row>
        <row r="810">
          <cell r="B810">
            <v>100300026</v>
          </cell>
          <cell r="C810">
            <v>1003</v>
          </cell>
          <cell r="D810" t="str">
            <v>MsDuo Chocolate 300 ml</v>
          </cell>
          <cell r="E810">
            <v>3.8151567033333333</v>
          </cell>
          <cell r="F810">
            <v>13.723585263788967</v>
          </cell>
          <cell r="G810">
            <v>16.710467563101577</v>
          </cell>
          <cell r="H810">
            <v>210900005</v>
          </cell>
          <cell r="I810" t="str">
            <v>Stracciatella Meio Amarga</v>
          </cell>
          <cell r="J810">
            <v>0.15422875</v>
          </cell>
          <cell r="K810">
            <v>5.0000000000000001E-3</v>
          </cell>
          <cell r="L810" t="str">
            <v>Kg</v>
          </cell>
          <cell r="M810">
            <v>30.845749999999999</v>
          </cell>
        </row>
        <row r="811">
          <cell r="H811">
            <v>210900006</v>
          </cell>
          <cell r="I811" t="str">
            <v>Stracciatella Branca</v>
          </cell>
          <cell r="J811">
            <v>0.33403500000000008</v>
          </cell>
          <cell r="K811">
            <v>8.9999999999999993E-3</v>
          </cell>
          <cell r="L811" t="str">
            <v>Kg</v>
          </cell>
          <cell r="M811">
            <v>37.115000000000009</v>
          </cell>
        </row>
        <row r="812">
          <cell r="H812">
            <v>216000016</v>
          </cell>
          <cell r="I812" t="str">
            <v>Leite Integral</v>
          </cell>
          <cell r="J812">
            <v>0.12</v>
          </cell>
          <cell r="K812">
            <v>0.03</v>
          </cell>
          <cell r="L812" t="str">
            <v>Lt</v>
          </cell>
          <cell r="M812">
            <v>4</v>
          </cell>
        </row>
        <row r="813">
          <cell r="H813">
            <v>210100001</v>
          </cell>
          <cell r="I813" t="str">
            <v>Bebida Láctea Uht (Baunilha)</v>
          </cell>
          <cell r="J813">
            <v>1.93157622</v>
          </cell>
          <cell r="K813">
            <v>0.17699999999999999</v>
          </cell>
          <cell r="L813" t="str">
            <v>Lt</v>
          </cell>
          <cell r="M813">
            <v>10.91286</v>
          </cell>
        </row>
        <row r="814">
          <cell r="H814">
            <v>216000017</v>
          </cell>
          <cell r="I814" t="str">
            <v>Leite em Pó Ninho</v>
          </cell>
          <cell r="J814">
            <v>0.61893333333333345</v>
          </cell>
          <cell r="K814">
            <v>0.01</v>
          </cell>
          <cell r="L814" t="str">
            <v>Kg</v>
          </cell>
          <cell r="M814">
            <v>61.893333333333338</v>
          </cell>
        </row>
        <row r="815">
          <cell r="H815">
            <v>210200030</v>
          </cell>
          <cell r="I815" t="str">
            <v>Copo 330 ml Milk Shake</v>
          </cell>
          <cell r="J815">
            <v>0.2827461</v>
          </cell>
          <cell r="K815">
            <v>1</v>
          </cell>
          <cell r="L815" t="str">
            <v>Un</v>
          </cell>
          <cell r="M815">
            <v>0.2827461</v>
          </cell>
        </row>
        <row r="816">
          <cell r="H816">
            <v>210200049</v>
          </cell>
          <cell r="I816" t="str">
            <v>Tampa 330 ml Milk Shake</v>
          </cell>
          <cell r="J816">
            <v>0.17523</v>
          </cell>
          <cell r="K816">
            <v>1</v>
          </cell>
          <cell r="L816" t="str">
            <v>Un</v>
          </cell>
          <cell r="M816">
            <v>0.17523</v>
          </cell>
        </row>
        <row r="817">
          <cell r="H817">
            <v>220100008</v>
          </cell>
          <cell r="I817" t="str">
            <v>Guardanapo Embalado</v>
          </cell>
          <cell r="J817">
            <v>7.1500000000000008E-2</v>
          </cell>
          <cell r="K817">
            <v>1</v>
          </cell>
          <cell r="L817" t="str">
            <v>Un</v>
          </cell>
          <cell r="M817">
            <v>7.1500000000000008E-2</v>
          </cell>
        </row>
        <row r="818">
          <cell r="H818">
            <v>210200021</v>
          </cell>
          <cell r="I818" t="str">
            <v>Canudo para Milk Shake 10 mm</v>
          </cell>
          <cell r="J818">
            <v>0.12690729999999997</v>
          </cell>
          <cell r="K818">
            <v>1</v>
          </cell>
          <cell r="L818" t="str">
            <v>Un</v>
          </cell>
          <cell r="M818">
            <v>0.12690729999999997</v>
          </cell>
        </row>
        <row r="819">
          <cell r="B819">
            <v>100300029</v>
          </cell>
          <cell r="C819">
            <v>1003</v>
          </cell>
          <cell r="D819" t="str">
            <v>MsNinho 300 ml</v>
          </cell>
          <cell r="E819">
            <v>3.3268929533333336</v>
          </cell>
          <cell r="F819">
            <v>11.967240839328538</v>
          </cell>
          <cell r="G819">
            <v>15.026327900547788</v>
          </cell>
          <cell r="H819">
            <v>216000016</v>
          </cell>
          <cell r="I819" t="str">
            <v>Leite Integral</v>
          </cell>
          <cell r="J819">
            <v>0.12</v>
          </cell>
          <cell r="K819">
            <v>0.03</v>
          </cell>
          <cell r="L819" t="str">
            <v>Lt</v>
          </cell>
          <cell r="M819">
            <v>4</v>
          </cell>
        </row>
        <row r="820">
          <cell r="H820">
            <v>210100001</v>
          </cell>
          <cell r="I820" t="str">
            <v>Bebida Láctea Uht (Baunilha)</v>
          </cell>
          <cell r="J820">
            <v>1.93157622</v>
          </cell>
          <cell r="K820">
            <v>0.17699999999999999</v>
          </cell>
          <cell r="L820" t="str">
            <v>Lt</v>
          </cell>
          <cell r="M820">
            <v>10.91286</v>
          </cell>
        </row>
        <row r="821">
          <cell r="H821">
            <v>216000017</v>
          </cell>
          <cell r="I821" t="str">
            <v>Leite em Pó Ninho</v>
          </cell>
          <cell r="J821">
            <v>0.61893333333333345</v>
          </cell>
          <cell r="K821">
            <v>0.01</v>
          </cell>
          <cell r="L821" t="str">
            <v>Kg</v>
          </cell>
          <cell r="M821">
            <v>61.893333333333338</v>
          </cell>
        </row>
        <row r="822">
          <cell r="H822">
            <v>210200030</v>
          </cell>
          <cell r="I822" t="str">
            <v>Copo 330 ml Milk Shake</v>
          </cell>
          <cell r="J822">
            <v>0.2827461</v>
          </cell>
          <cell r="K822">
            <v>1</v>
          </cell>
          <cell r="L822" t="str">
            <v>Un</v>
          </cell>
          <cell r="M822">
            <v>0.2827461</v>
          </cell>
        </row>
        <row r="823">
          <cell r="H823">
            <v>210200049</v>
          </cell>
          <cell r="I823" t="str">
            <v>Tampa 330 ml Milk Shake</v>
          </cell>
          <cell r="J823">
            <v>0.17523</v>
          </cell>
          <cell r="K823">
            <v>1</v>
          </cell>
          <cell r="L823" t="str">
            <v>Un</v>
          </cell>
          <cell r="M823">
            <v>0.17523</v>
          </cell>
        </row>
        <row r="824">
          <cell r="H824">
            <v>220100008</v>
          </cell>
          <cell r="I824" t="str">
            <v>Guardanapo Embalado</v>
          </cell>
          <cell r="J824">
            <v>7.1500000000000008E-2</v>
          </cell>
          <cell r="K824">
            <v>1</v>
          </cell>
          <cell r="L824" t="str">
            <v>Un</v>
          </cell>
          <cell r="M824">
            <v>7.1500000000000008E-2</v>
          </cell>
        </row>
        <row r="825">
          <cell r="H825">
            <v>210200021</v>
          </cell>
          <cell r="I825" t="str">
            <v>Canudo para Milk Shake 10 mm</v>
          </cell>
          <cell r="J825">
            <v>0.12690729999999997</v>
          </cell>
          <cell r="K825">
            <v>1</v>
          </cell>
          <cell r="L825" t="str">
            <v>Un</v>
          </cell>
          <cell r="M825">
            <v>0.12690729999999997</v>
          </cell>
        </row>
        <row r="826">
          <cell r="B826">
            <v>100300037</v>
          </cell>
          <cell r="C826">
            <v>1003</v>
          </cell>
          <cell r="D826" t="str">
            <v>Msnutella 300 ml</v>
          </cell>
          <cell r="E826">
            <v>3.9655007599999998</v>
          </cell>
          <cell r="F826">
            <v>14.264391223021581</v>
          </cell>
          <cell r="G826">
            <v>17.229040545145743</v>
          </cell>
          <cell r="H826">
            <v>210100002</v>
          </cell>
          <cell r="I826" t="str">
            <v>Bebida Láctea Uht (Chocolate)</v>
          </cell>
          <cell r="J826">
            <v>0.96033167999999991</v>
          </cell>
          <cell r="K826">
            <v>8.7999999999999995E-2</v>
          </cell>
          <cell r="L826" t="str">
            <v>Lt</v>
          </cell>
          <cell r="M826">
            <v>10.91286</v>
          </cell>
        </row>
        <row r="827">
          <cell r="H827">
            <v>210100001</v>
          </cell>
          <cell r="I827" t="str">
            <v>Bebida Láctea Uht (Baunilha)</v>
          </cell>
          <cell r="J827">
            <v>0.96033167999999991</v>
          </cell>
          <cell r="K827">
            <v>8.7999999999999995E-2</v>
          </cell>
          <cell r="L827" t="str">
            <v>Lt</v>
          </cell>
          <cell r="M827">
            <v>10.91286</v>
          </cell>
        </row>
        <row r="828">
          <cell r="H828">
            <v>210200021</v>
          </cell>
          <cell r="I828" t="str">
            <v>Canudo para Milk Shake 10 mm</v>
          </cell>
          <cell r="J828">
            <v>0.12690729999999997</v>
          </cell>
          <cell r="K828">
            <v>1</v>
          </cell>
          <cell r="L828" t="str">
            <v>Un</v>
          </cell>
          <cell r="M828">
            <v>0.12690729999999997</v>
          </cell>
        </row>
        <row r="829">
          <cell r="H829">
            <v>210200030</v>
          </cell>
          <cell r="I829" t="str">
            <v>Copo 330 ml Milk Shake</v>
          </cell>
          <cell r="J829">
            <v>0.2827461</v>
          </cell>
          <cell r="K829">
            <v>1</v>
          </cell>
          <cell r="L829" t="str">
            <v>Un</v>
          </cell>
          <cell r="M829">
            <v>0.2827461</v>
          </cell>
        </row>
        <row r="830">
          <cell r="H830">
            <v>216000016</v>
          </cell>
          <cell r="I830" t="str">
            <v>Leite Integral</v>
          </cell>
          <cell r="J830">
            <v>0.12</v>
          </cell>
          <cell r="K830">
            <v>0.03</v>
          </cell>
          <cell r="L830" t="str">
            <v>Lt</v>
          </cell>
          <cell r="M830">
            <v>4</v>
          </cell>
        </row>
        <row r="831">
          <cell r="H831">
            <v>216000050</v>
          </cell>
          <cell r="I831" t="str">
            <v>Nutella</v>
          </cell>
          <cell r="J831">
            <v>1.268454</v>
          </cell>
          <cell r="K831">
            <v>1.7999999999999999E-2</v>
          </cell>
          <cell r="L831" t="str">
            <v>Kg</v>
          </cell>
          <cell r="M831">
            <v>70.469666666666669</v>
          </cell>
        </row>
        <row r="832">
          <cell r="H832">
            <v>220100008</v>
          </cell>
          <cell r="I832" t="str">
            <v>Guardanapo Embalado</v>
          </cell>
          <cell r="J832">
            <v>7.1500000000000008E-2</v>
          </cell>
          <cell r="K832">
            <v>1</v>
          </cell>
          <cell r="L832" t="str">
            <v>un</v>
          </cell>
          <cell r="M832">
            <v>7.1500000000000008E-2</v>
          </cell>
        </row>
        <row r="833">
          <cell r="H833">
            <v>210200049</v>
          </cell>
          <cell r="I833" t="str">
            <v>Tampa 330 ml Milk Shake</v>
          </cell>
          <cell r="J833">
            <v>0.17523</v>
          </cell>
          <cell r="K833">
            <v>1</v>
          </cell>
          <cell r="L833" t="str">
            <v>Un</v>
          </cell>
          <cell r="M833">
            <v>0.17523</v>
          </cell>
        </row>
        <row r="834">
          <cell r="B834">
            <v>100300038</v>
          </cell>
          <cell r="C834">
            <v>1003</v>
          </cell>
          <cell r="D834" t="str">
            <v>MsChocotino 300 ml</v>
          </cell>
          <cell r="E834">
            <v>3.6377089533333327</v>
          </cell>
          <cell r="F834">
            <v>13.08528400479616</v>
          </cell>
          <cell r="G834">
            <v>16.098407393150541</v>
          </cell>
          <cell r="H834">
            <v>216000016</v>
          </cell>
          <cell r="I834" t="str">
            <v>Leite Integral</v>
          </cell>
          <cell r="J834">
            <v>0.12</v>
          </cell>
          <cell r="K834">
            <v>0.03</v>
          </cell>
          <cell r="L834" t="str">
            <v>Kg</v>
          </cell>
          <cell r="M834">
            <v>4</v>
          </cell>
        </row>
        <row r="835">
          <cell r="H835">
            <v>210100001</v>
          </cell>
          <cell r="I835" t="str">
            <v>Bebida Láctea Uht (Baunilha)</v>
          </cell>
          <cell r="J835">
            <v>1.93157622</v>
          </cell>
          <cell r="K835">
            <v>0.17699999999999999</v>
          </cell>
          <cell r="L835" t="str">
            <v>Lt</v>
          </cell>
          <cell r="M835">
            <v>10.91286</v>
          </cell>
        </row>
        <row r="836">
          <cell r="H836">
            <v>210900004</v>
          </cell>
          <cell r="I836" t="str">
            <v>Ovomaltine</v>
          </cell>
          <cell r="J836">
            <v>0.92974933333333332</v>
          </cell>
          <cell r="K836">
            <v>2.4E-2</v>
          </cell>
          <cell r="L836" t="str">
            <v>Kg</v>
          </cell>
          <cell r="M836">
            <v>38.739555555555555</v>
          </cell>
        </row>
        <row r="837">
          <cell r="H837">
            <v>210200030</v>
          </cell>
          <cell r="I837" t="str">
            <v>Copo 330 ml Milk Shake</v>
          </cell>
          <cell r="J837">
            <v>0.2827461</v>
          </cell>
          <cell r="K837">
            <v>1</v>
          </cell>
          <cell r="L837" t="str">
            <v>Un</v>
          </cell>
          <cell r="M837">
            <v>0.2827461</v>
          </cell>
        </row>
        <row r="838">
          <cell r="H838">
            <v>210200049</v>
          </cell>
          <cell r="I838" t="str">
            <v>Tampa 330 ml Milk Shake</v>
          </cell>
          <cell r="J838">
            <v>0.17523</v>
          </cell>
          <cell r="K838">
            <v>1</v>
          </cell>
          <cell r="L838" t="str">
            <v>Un</v>
          </cell>
          <cell r="M838">
            <v>0.17523</v>
          </cell>
        </row>
        <row r="839">
          <cell r="H839">
            <v>220100008</v>
          </cell>
          <cell r="I839" t="str">
            <v>Guardanapo Embalado</v>
          </cell>
          <cell r="J839">
            <v>7.1500000000000008E-2</v>
          </cell>
          <cell r="K839">
            <v>1</v>
          </cell>
          <cell r="L839" t="str">
            <v>Un</v>
          </cell>
          <cell r="M839">
            <v>7.1500000000000008E-2</v>
          </cell>
        </row>
        <row r="840">
          <cell r="H840">
            <v>210200021</v>
          </cell>
          <cell r="I840" t="str">
            <v>Canudo para Milk Shake 10 mm</v>
          </cell>
          <cell r="J840">
            <v>0.12690729999999997</v>
          </cell>
          <cell r="K840">
            <v>1</v>
          </cell>
          <cell r="L840" t="str">
            <v>Un</v>
          </cell>
          <cell r="M840">
            <v>0.12690729999999997</v>
          </cell>
        </row>
        <row r="841">
          <cell r="B841">
            <v>100300045</v>
          </cell>
          <cell r="C841">
            <v>1003</v>
          </cell>
          <cell r="D841" t="str">
            <v>Mstrufado 300 ml</v>
          </cell>
          <cell r="E841">
            <v>3.3765310485714282</v>
          </cell>
          <cell r="F841">
            <v>12.145795138746143</v>
          </cell>
          <cell r="G841">
            <v>15.197541686056333</v>
          </cell>
          <cell r="H841">
            <v>210100002</v>
          </cell>
          <cell r="I841" t="str">
            <v>Bebida Láctea Uht (Chocolate)</v>
          </cell>
          <cell r="J841">
            <v>1.93157622</v>
          </cell>
          <cell r="K841">
            <v>0.17699999999999999</v>
          </cell>
          <cell r="L841" t="str">
            <v>Lt</v>
          </cell>
          <cell r="M841">
            <v>10.91286</v>
          </cell>
        </row>
        <row r="842">
          <cell r="H842">
            <v>210900018</v>
          </cell>
          <cell r="I842" t="str">
            <v>Trufada Chiquinho</v>
          </cell>
          <cell r="J842">
            <v>0.66857142857142848</v>
          </cell>
          <cell r="K842">
            <v>1.4999999999999999E-2</v>
          </cell>
          <cell r="L842" t="str">
            <v>Kg</v>
          </cell>
          <cell r="M842">
            <v>44.571428571428569</v>
          </cell>
        </row>
        <row r="843">
          <cell r="H843">
            <v>210200021</v>
          </cell>
          <cell r="I843" t="str">
            <v>Canudo para Milk Shake 10 mm</v>
          </cell>
          <cell r="J843">
            <v>0.12690729999999997</v>
          </cell>
          <cell r="K843">
            <v>1</v>
          </cell>
          <cell r="L843" t="str">
            <v>Un</v>
          </cell>
          <cell r="M843">
            <v>0.12690729999999997</v>
          </cell>
        </row>
        <row r="844">
          <cell r="H844">
            <v>210200030</v>
          </cell>
          <cell r="I844" t="str">
            <v>Copo 330 ml Milk Shake</v>
          </cell>
          <cell r="J844">
            <v>0.2827461</v>
          </cell>
          <cell r="K844">
            <v>1</v>
          </cell>
          <cell r="L844" t="str">
            <v>Un</v>
          </cell>
          <cell r="M844">
            <v>0.2827461</v>
          </cell>
        </row>
        <row r="845">
          <cell r="H845">
            <v>216000016</v>
          </cell>
          <cell r="I845" t="str">
            <v>Leite Integral</v>
          </cell>
          <cell r="J845">
            <v>0.12</v>
          </cell>
          <cell r="K845">
            <v>0.03</v>
          </cell>
          <cell r="L845" t="str">
            <v>Lt</v>
          </cell>
          <cell r="M845">
            <v>4</v>
          </cell>
        </row>
        <row r="846">
          <cell r="H846">
            <v>220100008</v>
          </cell>
          <cell r="I846" t="str">
            <v>Guardanapo Embalado</v>
          </cell>
          <cell r="J846">
            <v>7.1500000000000008E-2</v>
          </cell>
          <cell r="K846">
            <v>1</v>
          </cell>
          <cell r="L846" t="str">
            <v>un</v>
          </cell>
          <cell r="M846">
            <v>7.1500000000000008E-2</v>
          </cell>
        </row>
        <row r="847">
          <cell r="H847">
            <v>210200049</v>
          </cell>
          <cell r="I847" t="str">
            <v>Tampa 330 ml Milk Shake</v>
          </cell>
          <cell r="J847">
            <v>0.17523</v>
          </cell>
          <cell r="K847">
            <v>1</v>
          </cell>
          <cell r="L847" t="str">
            <v>Un</v>
          </cell>
          <cell r="M847">
            <v>0.17523</v>
          </cell>
        </row>
        <row r="848">
          <cell r="B848">
            <v>100300048</v>
          </cell>
          <cell r="C848">
            <v>1003</v>
          </cell>
          <cell r="D848" t="str">
            <v>MSCappuccino Chocolat 300 ml</v>
          </cell>
          <cell r="E848">
            <v>4.1878796200000004</v>
          </cell>
          <cell r="F848">
            <v>15.064315179856115</v>
          </cell>
          <cell r="G848">
            <v>17.99607897107742</v>
          </cell>
          <cell r="H848">
            <v>216000016</v>
          </cell>
          <cell r="I848" t="str">
            <v>Leite Integral</v>
          </cell>
          <cell r="J848">
            <v>0.12</v>
          </cell>
          <cell r="K848">
            <v>0.03</v>
          </cell>
          <cell r="L848" t="str">
            <v>Lt</v>
          </cell>
          <cell r="M848">
            <v>4</v>
          </cell>
        </row>
        <row r="849">
          <cell r="H849">
            <v>210100001</v>
          </cell>
          <cell r="I849" t="str">
            <v>Bebida Láctea Uht (Baunilha)</v>
          </cell>
          <cell r="J849">
            <v>1.93157622</v>
          </cell>
          <cell r="K849">
            <v>0.17699999999999999</v>
          </cell>
          <cell r="L849" t="str">
            <v>Lt</v>
          </cell>
          <cell r="M849">
            <v>10.91286</v>
          </cell>
        </row>
        <row r="850">
          <cell r="H850">
            <v>216000023</v>
          </cell>
          <cell r="I850" t="str">
            <v>Cappuccino</v>
          </cell>
          <cell r="J850">
            <v>0.86300500000000002</v>
          </cell>
          <cell r="K850">
            <v>1.2999999999999999E-2</v>
          </cell>
          <cell r="L850" t="str">
            <v>Kg</v>
          </cell>
          <cell r="M850">
            <v>66.385000000000005</v>
          </cell>
        </row>
        <row r="851">
          <cell r="H851">
            <v>210900005</v>
          </cell>
          <cell r="I851" t="str">
            <v>Stracciatella Meio Amarga</v>
          </cell>
          <cell r="J851">
            <v>0.61691499999999999</v>
          </cell>
          <cell r="K851">
            <v>0.02</v>
          </cell>
          <cell r="L851" t="str">
            <v>Kg</v>
          </cell>
          <cell r="M851">
            <v>30.845749999999999</v>
          </cell>
        </row>
        <row r="852">
          <cell r="H852">
            <v>210200030</v>
          </cell>
          <cell r="I852" t="str">
            <v>Copo 330 ml Milk Shake</v>
          </cell>
          <cell r="J852">
            <v>0.2827461</v>
          </cell>
          <cell r="K852">
            <v>1</v>
          </cell>
          <cell r="L852" t="str">
            <v>Un</v>
          </cell>
          <cell r="M852">
            <v>0.2827461</v>
          </cell>
        </row>
        <row r="853">
          <cell r="H853">
            <v>210200049</v>
          </cell>
          <cell r="I853" t="str">
            <v>Tampa 330 ml Milk Shake</v>
          </cell>
          <cell r="J853">
            <v>0.17523</v>
          </cell>
          <cell r="K853">
            <v>1</v>
          </cell>
          <cell r="L853" t="str">
            <v>Un</v>
          </cell>
          <cell r="M853">
            <v>0.17523</v>
          </cell>
        </row>
        <row r="854">
          <cell r="H854">
            <v>220100008</v>
          </cell>
          <cell r="I854" t="str">
            <v>Guardanapo Embalado</v>
          </cell>
          <cell r="J854">
            <v>7.1500000000000008E-2</v>
          </cell>
          <cell r="K854">
            <v>1</v>
          </cell>
          <cell r="L854" t="str">
            <v>Un</v>
          </cell>
          <cell r="M854">
            <v>7.1500000000000008E-2</v>
          </cell>
        </row>
        <row r="855">
          <cell r="H855">
            <v>210200021</v>
          </cell>
          <cell r="I855" t="str">
            <v>Canudo para Milk Shake 10 mm</v>
          </cell>
          <cell r="J855">
            <v>0.12690729999999997</v>
          </cell>
          <cell r="K855">
            <v>1</v>
          </cell>
          <cell r="L855" t="str">
            <v>Un</v>
          </cell>
          <cell r="M855">
            <v>0.12690729999999997</v>
          </cell>
        </row>
        <row r="856">
          <cell r="B856">
            <v>100300077</v>
          </cell>
          <cell r="C856">
            <v>1003</v>
          </cell>
          <cell r="D856" t="str">
            <v>MsLimão com Leite moça 300 ml</v>
          </cell>
          <cell r="E856">
            <v>3.5454279744303796</v>
          </cell>
          <cell r="F856">
            <v>12.753338037519351</v>
          </cell>
          <cell r="G856">
            <v>15.780107997240538</v>
          </cell>
          <cell r="H856">
            <v>216000056</v>
          </cell>
          <cell r="I856" t="str">
            <v>Limão-taiti</v>
          </cell>
          <cell r="J856">
            <v>0.255</v>
          </cell>
          <cell r="K856">
            <v>8.5000000000000006E-2</v>
          </cell>
          <cell r="L856" t="str">
            <v>kg</v>
          </cell>
          <cell r="M856">
            <v>3</v>
          </cell>
        </row>
        <row r="857">
          <cell r="H857">
            <v>210100001</v>
          </cell>
          <cell r="I857" t="str">
            <v>Bebida Láctea Uht (Baunilha)</v>
          </cell>
          <cell r="J857">
            <v>1.93157622</v>
          </cell>
          <cell r="K857">
            <v>0.17699999999999999</v>
          </cell>
          <cell r="L857" t="str">
            <v>Lt</v>
          </cell>
          <cell r="M857">
            <v>10.91286</v>
          </cell>
        </row>
        <row r="858">
          <cell r="H858">
            <v>216000013</v>
          </cell>
          <cell r="I858" t="str">
            <v>Leite Condensado</v>
          </cell>
          <cell r="J858">
            <v>0.7024683544303798</v>
          </cell>
          <cell r="K858">
            <v>2.5000000000000001E-2</v>
          </cell>
          <cell r="L858" t="str">
            <v>Un</v>
          </cell>
          <cell r="M858">
            <v>28.098734177215189</v>
          </cell>
        </row>
        <row r="859">
          <cell r="H859">
            <v>210200030</v>
          </cell>
          <cell r="I859" t="str">
            <v>Copo 330 ml Milk Shake</v>
          </cell>
          <cell r="J859">
            <v>0.2827461</v>
          </cell>
          <cell r="K859">
            <v>1</v>
          </cell>
          <cell r="L859" t="str">
            <v>Un</v>
          </cell>
          <cell r="M859">
            <v>0.2827461</v>
          </cell>
        </row>
        <row r="860">
          <cell r="H860">
            <v>210200049</v>
          </cell>
          <cell r="I860" t="str">
            <v>Tampa 330 ml Milk Shake</v>
          </cell>
          <cell r="J860">
            <v>0.17523</v>
          </cell>
          <cell r="K860">
            <v>1</v>
          </cell>
          <cell r="L860" t="str">
            <v>Un</v>
          </cell>
          <cell r="M860">
            <v>0.17523</v>
          </cell>
        </row>
        <row r="861">
          <cell r="H861">
            <v>220100008</v>
          </cell>
          <cell r="I861" t="str">
            <v>Guardanapo Embalado</v>
          </cell>
          <cell r="J861">
            <v>7.1500000000000008E-2</v>
          </cell>
          <cell r="K861">
            <v>1</v>
          </cell>
          <cell r="L861" t="str">
            <v>Un</v>
          </cell>
          <cell r="M861">
            <v>7.1500000000000008E-2</v>
          </cell>
        </row>
        <row r="862">
          <cell r="H862">
            <v>210200021</v>
          </cell>
          <cell r="I862" t="str">
            <v>Canudo para Milk Shake 10 mm</v>
          </cell>
          <cell r="J862">
            <v>0.12690729999999997</v>
          </cell>
          <cell r="K862">
            <v>1</v>
          </cell>
          <cell r="L862" t="str">
            <v>Un</v>
          </cell>
          <cell r="M862">
            <v>0.12690729999999997</v>
          </cell>
        </row>
        <row r="863">
          <cell r="B863">
            <v>100300079</v>
          </cell>
          <cell r="C863">
            <v>1003</v>
          </cell>
          <cell r="D863" t="str">
            <v>MsMousse de Maracujá 300 ml</v>
          </cell>
          <cell r="E863">
            <v>3.7661819414285715</v>
          </cell>
          <cell r="F863">
            <v>13.547417055498457</v>
          </cell>
          <cell r="G863">
            <v>16.54154177455402</v>
          </cell>
          <cell r="H863">
            <v>216000016</v>
          </cell>
          <cell r="I863" t="str">
            <v>Leite Integral</v>
          </cell>
          <cell r="J863">
            <v>0.12</v>
          </cell>
          <cell r="K863">
            <v>0.03</v>
          </cell>
          <cell r="L863" t="str">
            <v>Lt</v>
          </cell>
          <cell r="M863">
            <v>4</v>
          </cell>
        </row>
        <row r="864">
          <cell r="H864">
            <v>210100001</v>
          </cell>
          <cell r="I864" t="str">
            <v>Bebida Láctea Uht (Baunilha)</v>
          </cell>
          <cell r="J864">
            <v>1.93157622</v>
          </cell>
          <cell r="K864">
            <v>0.17699999999999999</v>
          </cell>
          <cell r="L864" t="str">
            <v>Lt</v>
          </cell>
          <cell r="M864">
            <v>10.91286</v>
          </cell>
        </row>
        <row r="865">
          <cell r="H865">
            <v>216000015</v>
          </cell>
          <cell r="I865" t="str">
            <v>Doce de leite</v>
          </cell>
          <cell r="J865">
            <v>0.65429375000000001</v>
          </cell>
          <cell r="K865">
            <v>0.03</v>
          </cell>
          <cell r="L865" t="str">
            <v>Un</v>
          </cell>
          <cell r="M865">
            <v>21.809791666666669</v>
          </cell>
        </row>
        <row r="866">
          <cell r="H866">
            <v>210200030</v>
          </cell>
          <cell r="I866" t="str">
            <v>Copo 330 ml Milk Shake</v>
          </cell>
          <cell r="J866">
            <v>0.2827461</v>
          </cell>
          <cell r="K866">
            <v>1</v>
          </cell>
          <cell r="L866" t="str">
            <v>Un</v>
          </cell>
          <cell r="M866">
            <v>0.2827461</v>
          </cell>
        </row>
        <row r="867">
          <cell r="H867">
            <v>210400015</v>
          </cell>
          <cell r="I867" t="str">
            <v>Mescla de maracujá</v>
          </cell>
          <cell r="J867">
            <v>0.40392857142857147</v>
          </cell>
          <cell r="K867">
            <v>1.4999999999999999E-2</v>
          </cell>
          <cell r="L867" t="str">
            <v>kg</v>
          </cell>
          <cell r="M867">
            <v>26.928571428571431</v>
          </cell>
        </row>
        <row r="868">
          <cell r="H868">
            <v>210200049</v>
          </cell>
          <cell r="I868" t="str">
            <v>Tampa 330 ml Milk Shake</v>
          </cell>
          <cell r="J868">
            <v>0.17523</v>
          </cell>
          <cell r="K868">
            <v>1</v>
          </cell>
          <cell r="L868" t="str">
            <v>Un</v>
          </cell>
          <cell r="M868">
            <v>0.17523</v>
          </cell>
        </row>
        <row r="869">
          <cell r="H869">
            <v>220100008</v>
          </cell>
          <cell r="I869" t="str">
            <v>Guardanapo Embalado</v>
          </cell>
          <cell r="J869">
            <v>7.1500000000000008E-2</v>
          </cell>
          <cell r="K869">
            <v>1</v>
          </cell>
          <cell r="L869" t="str">
            <v>Un</v>
          </cell>
          <cell r="M869">
            <v>7.1500000000000008E-2</v>
          </cell>
        </row>
        <row r="870">
          <cell r="H870">
            <v>210200021</v>
          </cell>
          <cell r="I870" t="str">
            <v>Canudo para Milk Shake 10 mm</v>
          </cell>
          <cell r="J870">
            <v>0.12690729999999997</v>
          </cell>
          <cell r="K870">
            <v>1</v>
          </cell>
          <cell r="L870" t="str">
            <v>Un</v>
          </cell>
          <cell r="M870">
            <v>0.12690729999999997</v>
          </cell>
        </row>
        <row r="871">
          <cell r="B871">
            <v>100300080</v>
          </cell>
          <cell r="C871">
            <v>1003</v>
          </cell>
          <cell r="D871" t="str">
            <v>MsFarinha Láctea e Banana 300 ml</v>
          </cell>
          <cell r="E871">
            <v>3.1792696199999999</v>
          </cell>
          <cell r="F871">
            <v>11.436221654676258</v>
          </cell>
          <cell r="G871">
            <v>14.517139350742346</v>
          </cell>
          <cell r="H871">
            <v>216000065</v>
          </cell>
          <cell r="I871" t="str">
            <v>Farinha Láctea</v>
          </cell>
          <cell r="J871">
            <v>0.45166000000000006</v>
          </cell>
          <cell r="K871">
            <v>1.2E-2</v>
          </cell>
          <cell r="L871" t="str">
            <v>Lt</v>
          </cell>
          <cell r="M871">
            <v>37.638333333333335</v>
          </cell>
        </row>
        <row r="872">
          <cell r="H872">
            <v>210100001</v>
          </cell>
          <cell r="I872" t="str">
            <v>Bebida Láctea Uht (Baunilha)</v>
          </cell>
          <cell r="J872">
            <v>1.93157622</v>
          </cell>
          <cell r="K872">
            <v>0.17699999999999999</v>
          </cell>
          <cell r="L872" t="str">
            <v>Lt</v>
          </cell>
          <cell r="M872">
            <v>10.91286</v>
          </cell>
        </row>
        <row r="873">
          <cell r="H873">
            <v>216000018</v>
          </cell>
          <cell r="I873" t="str">
            <v>Banana Nanica</v>
          </cell>
          <cell r="J873">
            <v>0.13965000000000002</v>
          </cell>
          <cell r="K873">
            <v>3.5000000000000003E-2</v>
          </cell>
          <cell r="L873" t="str">
            <v>Un</v>
          </cell>
          <cell r="M873">
            <v>3.99</v>
          </cell>
        </row>
        <row r="874">
          <cell r="H874">
            <v>210200030</v>
          </cell>
          <cell r="I874" t="str">
            <v>Copo 330 ml Milk Shake</v>
          </cell>
          <cell r="J874">
            <v>0.2827461</v>
          </cell>
          <cell r="K874">
            <v>1</v>
          </cell>
          <cell r="L874" t="str">
            <v>Un</v>
          </cell>
          <cell r="M874">
            <v>0.2827461</v>
          </cell>
        </row>
        <row r="875">
          <cell r="H875">
            <v>210200049</v>
          </cell>
          <cell r="I875" t="str">
            <v>Tampa 330 ml Milk Shake</v>
          </cell>
          <cell r="J875">
            <v>0.17523</v>
          </cell>
          <cell r="K875">
            <v>1</v>
          </cell>
          <cell r="L875" t="str">
            <v>Un</v>
          </cell>
          <cell r="M875">
            <v>0.17523</v>
          </cell>
        </row>
        <row r="876">
          <cell r="H876">
            <v>220100008</v>
          </cell>
          <cell r="I876" t="str">
            <v>Guardanapo Embalado</v>
          </cell>
          <cell r="J876">
            <v>7.1500000000000008E-2</v>
          </cell>
          <cell r="K876">
            <v>1</v>
          </cell>
          <cell r="L876" t="str">
            <v>Un</v>
          </cell>
          <cell r="M876">
            <v>7.1500000000000008E-2</v>
          </cell>
        </row>
        <row r="877">
          <cell r="H877">
            <v>210200021</v>
          </cell>
          <cell r="I877" t="str">
            <v>Canudo para Milk Shake 10 mm</v>
          </cell>
          <cell r="J877">
            <v>0.12690729999999997</v>
          </cell>
          <cell r="K877">
            <v>1</v>
          </cell>
          <cell r="L877" t="str">
            <v>Un</v>
          </cell>
          <cell r="M877">
            <v>0.12690729999999997</v>
          </cell>
        </row>
        <row r="878">
          <cell r="B878">
            <v>100300081</v>
          </cell>
          <cell r="C878">
            <v>1003</v>
          </cell>
          <cell r="D878" t="str">
            <v>MsPink Limonade 300 ml</v>
          </cell>
          <cell r="E878">
            <v>4.6438810485714281</v>
          </cell>
          <cell r="F878">
            <v>16.704608088386429</v>
          </cell>
          <cell r="G878">
            <v>19.568938090842778</v>
          </cell>
          <cell r="H878">
            <v>210100001</v>
          </cell>
          <cell r="I878" t="str">
            <v>Bebida Láctea Uht (Baunilha)</v>
          </cell>
          <cell r="J878">
            <v>1.93157622</v>
          </cell>
          <cell r="K878">
            <v>0.17699999999999999</v>
          </cell>
          <cell r="L878" t="str">
            <v>Kg</v>
          </cell>
          <cell r="M878">
            <v>10.91286</v>
          </cell>
        </row>
        <row r="879">
          <cell r="H879">
            <v>216000056</v>
          </cell>
          <cell r="I879" t="str">
            <v>Limão-taiti</v>
          </cell>
          <cell r="J879">
            <v>0.12375</v>
          </cell>
          <cell r="K879">
            <v>4.1250000000000002E-2</v>
          </cell>
          <cell r="L879" t="str">
            <v>Lt</v>
          </cell>
          <cell r="M879">
            <v>3</v>
          </cell>
        </row>
        <row r="880">
          <cell r="H880">
            <v>210400016</v>
          </cell>
          <cell r="I880" t="str">
            <v>Mescla de Morango</v>
          </cell>
          <cell r="J880">
            <v>1.9321714285714284</v>
          </cell>
          <cell r="K880">
            <v>0.06</v>
          </cell>
          <cell r="L880" t="str">
            <v>kg</v>
          </cell>
          <cell r="M880">
            <v>32.202857142857141</v>
          </cell>
        </row>
        <row r="881">
          <cell r="H881">
            <v>220100008</v>
          </cell>
          <cell r="I881" t="str">
            <v>Guardanapo Embalado</v>
          </cell>
          <cell r="J881">
            <v>7.1500000000000008E-2</v>
          </cell>
          <cell r="K881">
            <v>1</v>
          </cell>
          <cell r="L881" t="str">
            <v>Un</v>
          </cell>
          <cell r="M881">
            <v>7.1500000000000008E-2</v>
          </cell>
        </row>
        <row r="882">
          <cell r="H882">
            <v>210200049</v>
          </cell>
          <cell r="I882" t="str">
            <v>Tampa 330 ml Milk Shake</v>
          </cell>
          <cell r="J882">
            <v>0.17523</v>
          </cell>
          <cell r="K882">
            <v>1</v>
          </cell>
          <cell r="L882" t="str">
            <v>Un</v>
          </cell>
          <cell r="M882">
            <v>0.17523</v>
          </cell>
        </row>
        <row r="883">
          <cell r="H883">
            <v>210200021</v>
          </cell>
          <cell r="I883" t="str">
            <v>Canudo para Milk Shake 10 mm</v>
          </cell>
          <cell r="J883">
            <v>0.12690729999999997</v>
          </cell>
          <cell r="K883">
            <v>1</v>
          </cell>
          <cell r="L883" t="str">
            <v>Un</v>
          </cell>
          <cell r="M883">
            <v>0.12690729999999997</v>
          </cell>
        </row>
        <row r="884">
          <cell r="H884">
            <v>210200030</v>
          </cell>
          <cell r="I884" t="str">
            <v>Copo 330 ml Milk Shake</v>
          </cell>
          <cell r="J884">
            <v>0.2827461</v>
          </cell>
          <cell r="K884">
            <v>1</v>
          </cell>
          <cell r="L884" t="str">
            <v>Un</v>
          </cell>
          <cell r="M884">
            <v>0.2827461</v>
          </cell>
        </row>
        <row r="885">
          <cell r="B885">
            <v>100300082</v>
          </cell>
          <cell r="C885">
            <v>1003</v>
          </cell>
          <cell r="D885" t="str">
            <v>MsNapolitano 300 ml</v>
          </cell>
          <cell r="E885">
            <v>4.9098936676190474</v>
          </cell>
          <cell r="F885">
            <v>17.661488013018154</v>
          </cell>
          <cell r="G885">
            <v>20.486479895815823</v>
          </cell>
          <cell r="H885">
            <v>210100007</v>
          </cell>
          <cell r="I885" t="str">
            <v>Bebida Láctea UHT Sabores</v>
          </cell>
          <cell r="J885">
            <v>1.93157622</v>
          </cell>
          <cell r="K885">
            <v>0.17699999999999999</v>
          </cell>
          <cell r="L885" t="str">
            <v>Kg</v>
          </cell>
          <cell r="M885">
            <v>10.91286</v>
          </cell>
        </row>
        <row r="886">
          <cell r="H886">
            <v>216000016</v>
          </cell>
          <cell r="I886" t="str">
            <v>Leite Integral</v>
          </cell>
          <cell r="J886">
            <v>0.12</v>
          </cell>
          <cell r="K886">
            <v>0.03</v>
          </cell>
          <cell r="L886" t="str">
            <v>Lt</v>
          </cell>
          <cell r="M886">
            <v>4</v>
          </cell>
        </row>
        <row r="887">
          <cell r="H887">
            <v>210400016</v>
          </cell>
          <cell r="I887" t="str">
            <v>Mescla de Morango</v>
          </cell>
          <cell r="J887">
            <v>0.96608571428571421</v>
          </cell>
          <cell r="K887">
            <v>0.03</v>
          </cell>
          <cell r="L887" t="str">
            <v>kg</v>
          </cell>
          <cell r="M887">
            <v>32.202857142857141</v>
          </cell>
        </row>
        <row r="888">
          <cell r="H888">
            <v>210900005</v>
          </cell>
          <cell r="I888" t="str">
            <v>Stracciatella Meio Amarga</v>
          </cell>
          <cell r="J888">
            <v>0.61691499999999999</v>
          </cell>
          <cell r="K888">
            <v>0.02</v>
          </cell>
          <cell r="L888" t="str">
            <v>kg</v>
          </cell>
          <cell r="M888">
            <v>30.845749999999999</v>
          </cell>
        </row>
        <row r="889">
          <cell r="H889">
            <v>216000017</v>
          </cell>
          <cell r="I889" t="str">
            <v>Leite em Pó Ninho</v>
          </cell>
          <cell r="J889">
            <v>0.61893333333333345</v>
          </cell>
          <cell r="K889">
            <v>0.01</v>
          </cell>
          <cell r="L889" t="str">
            <v>kg</v>
          </cell>
          <cell r="M889">
            <v>61.893333333333338</v>
          </cell>
        </row>
        <row r="890">
          <cell r="H890">
            <v>220100008</v>
          </cell>
          <cell r="I890" t="str">
            <v>Guardanapo Embalado</v>
          </cell>
          <cell r="J890">
            <v>7.1500000000000008E-2</v>
          </cell>
          <cell r="K890">
            <v>1</v>
          </cell>
          <cell r="L890" t="str">
            <v>Un</v>
          </cell>
          <cell r="M890">
            <v>7.1500000000000008E-2</v>
          </cell>
        </row>
        <row r="891">
          <cell r="H891">
            <v>210200049</v>
          </cell>
          <cell r="I891" t="str">
            <v>Tampa 330 ml Milk Shake</v>
          </cell>
          <cell r="J891">
            <v>0.17523</v>
          </cell>
          <cell r="K891">
            <v>1</v>
          </cell>
          <cell r="L891" t="str">
            <v>Un</v>
          </cell>
          <cell r="M891">
            <v>0.17523</v>
          </cell>
        </row>
        <row r="892">
          <cell r="H892">
            <v>210200021</v>
          </cell>
          <cell r="I892" t="str">
            <v>Canudo para Milk Shake 10 mm</v>
          </cell>
          <cell r="J892">
            <v>0.12690729999999997</v>
          </cell>
          <cell r="K892">
            <v>1</v>
          </cell>
          <cell r="L892" t="str">
            <v>Un</v>
          </cell>
          <cell r="M892">
            <v>0.12690729999999997</v>
          </cell>
        </row>
        <row r="893">
          <cell r="H893">
            <v>210200030</v>
          </cell>
          <cell r="I893" t="str">
            <v>Copo 330 ml Milk Shake</v>
          </cell>
          <cell r="J893">
            <v>0.2827461</v>
          </cell>
          <cell r="K893">
            <v>1</v>
          </cell>
          <cell r="L893" t="str">
            <v>Un</v>
          </cell>
          <cell r="M893">
            <v>0.2827461</v>
          </cell>
        </row>
        <row r="894">
          <cell r="B894">
            <v>100300083</v>
          </cell>
          <cell r="C894">
            <v>1003</v>
          </cell>
          <cell r="D894" t="str">
            <v>Ms3 Leites 300 ml</v>
          </cell>
          <cell r="E894">
            <v>4.7716613077637131</v>
          </cell>
          <cell r="F894">
            <v>17.164249308502562</v>
          </cell>
          <cell r="G894">
            <v>20.009683082862214</v>
          </cell>
          <cell r="H894">
            <v>210100001</v>
          </cell>
          <cell r="I894" t="str">
            <v>Bebida Láctea Uht (Baunilha)</v>
          </cell>
          <cell r="J894">
            <v>1.93157622</v>
          </cell>
          <cell r="K894">
            <v>0.17699999999999999</v>
          </cell>
          <cell r="L894" t="str">
            <v>Kg</v>
          </cell>
          <cell r="M894">
            <v>10.91286</v>
          </cell>
        </row>
        <row r="895">
          <cell r="H895">
            <v>216000016</v>
          </cell>
          <cell r="I895" t="str">
            <v>Leite Integral</v>
          </cell>
          <cell r="J895">
            <v>0.12</v>
          </cell>
          <cell r="K895">
            <v>0.03</v>
          </cell>
          <cell r="L895" t="str">
            <v>Lt</v>
          </cell>
          <cell r="M895">
            <v>4</v>
          </cell>
        </row>
        <row r="896">
          <cell r="H896">
            <v>216000013</v>
          </cell>
          <cell r="I896" t="str">
            <v>Leite Condensado</v>
          </cell>
          <cell r="J896">
            <v>0.7024683544303798</v>
          </cell>
          <cell r="K896">
            <v>2.5000000000000001E-2</v>
          </cell>
          <cell r="L896" t="str">
            <v>kg</v>
          </cell>
          <cell r="M896">
            <v>28.098734177215189</v>
          </cell>
        </row>
        <row r="897">
          <cell r="H897">
            <v>210900006</v>
          </cell>
          <cell r="I897" t="str">
            <v>Stracciatella Branca</v>
          </cell>
          <cell r="J897">
            <v>0.74230000000000018</v>
          </cell>
          <cell r="K897">
            <v>0.02</v>
          </cell>
          <cell r="L897" t="str">
            <v>kg</v>
          </cell>
          <cell r="M897">
            <v>37.115000000000009</v>
          </cell>
        </row>
        <row r="898">
          <cell r="H898">
            <v>216000017</v>
          </cell>
          <cell r="I898" t="str">
            <v>Leite em Pó Ninho</v>
          </cell>
          <cell r="J898">
            <v>0.61893333333333345</v>
          </cell>
          <cell r="K898">
            <v>0.01</v>
          </cell>
          <cell r="L898" t="str">
            <v>kg</v>
          </cell>
          <cell r="M898">
            <v>61.893333333333338</v>
          </cell>
        </row>
        <row r="899">
          <cell r="H899">
            <v>220100008</v>
          </cell>
          <cell r="I899" t="str">
            <v>Guardanapo Embalado</v>
          </cell>
          <cell r="J899">
            <v>7.1500000000000008E-2</v>
          </cell>
          <cell r="K899">
            <v>1</v>
          </cell>
          <cell r="L899" t="str">
            <v>Un</v>
          </cell>
          <cell r="M899">
            <v>7.1500000000000008E-2</v>
          </cell>
        </row>
        <row r="900">
          <cell r="H900">
            <v>210200049</v>
          </cell>
          <cell r="I900" t="str">
            <v>Tampa 330 ml Milk Shake</v>
          </cell>
          <cell r="J900">
            <v>0.17523</v>
          </cell>
          <cell r="K900">
            <v>1</v>
          </cell>
          <cell r="L900" t="str">
            <v>Un</v>
          </cell>
          <cell r="M900">
            <v>0.17523</v>
          </cell>
        </row>
        <row r="901">
          <cell r="H901">
            <v>210200021</v>
          </cell>
          <cell r="I901" t="str">
            <v>Canudo para Milk Shake 10 mm</v>
          </cell>
          <cell r="J901">
            <v>0.12690729999999997</v>
          </cell>
          <cell r="K901">
            <v>1</v>
          </cell>
          <cell r="L901" t="str">
            <v>Un</v>
          </cell>
          <cell r="M901">
            <v>0.12690729999999997</v>
          </cell>
        </row>
        <row r="902">
          <cell r="H902">
            <v>210200030</v>
          </cell>
          <cell r="I902" t="str">
            <v>Copo 330 ml Milk Shake</v>
          </cell>
          <cell r="J902">
            <v>0.2827461</v>
          </cell>
          <cell r="K902">
            <v>1</v>
          </cell>
          <cell r="L902" t="str">
            <v>Un</v>
          </cell>
          <cell r="M902">
            <v>0.2827461</v>
          </cell>
        </row>
        <row r="903">
          <cell r="B903">
            <v>100300084</v>
          </cell>
          <cell r="C903">
            <v>1031</v>
          </cell>
          <cell r="D903" t="str">
            <v>Milk-Shake Chocotino  turbo 300 ml</v>
          </cell>
          <cell r="E903">
            <v>4.874954731111111</v>
          </cell>
          <cell r="F903">
            <v>17.535808385291766</v>
          </cell>
          <cell r="G903">
            <v>20.365967060815347</v>
          </cell>
          <cell r="H903">
            <v>216000016</v>
          </cell>
          <cell r="I903" t="str">
            <v>Leite Integral</v>
          </cell>
          <cell r="J903">
            <v>0.12</v>
          </cell>
          <cell r="K903">
            <v>0.03</v>
          </cell>
          <cell r="L903" t="str">
            <v>Kg</v>
          </cell>
          <cell r="M903">
            <v>4</v>
          </cell>
        </row>
        <row r="904">
          <cell r="H904">
            <v>210100007</v>
          </cell>
          <cell r="I904" t="str">
            <v>Bebida Láctea Uht Sabores</v>
          </cell>
          <cell r="J904">
            <v>1.93157622</v>
          </cell>
          <cell r="K904">
            <v>0.17699999999999999</v>
          </cell>
          <cell r="L904" t="str">
            <v>Lt</v>
          </cell>
          <cell r="M904">
            <v>10.91286</v>
          </cell>
        </row>
        <row r="905">
          <cell r="H905">
            <v>210200021</v>
          </cell>
          <cell r="I905" t="str">
            <v>Canudo para Milk Shake 10 mm</v>
          </cell>
          <cell r="J905">
            <v>0.12690729999999997</v>
          </cell>
          <cell r="K905">
            <v>1</v>
          </cell>
          <cell r="L905" t="str">
            <v>Un</v>
          </cell>
          <cell r="M905">
            <v>0.12690729999999997</v>
          </cell>
        </row>
        <row r="906">
          <cell r="H906">
            <v>210900004</v>
          </cell>
          <cell r="I906" t="str">
            <v>Ovomaltine</v>
          </cell>
          <cell r="J906">
            <v>1.0072284444444444</v>
          </cell>
          <cell r="K906">
            <v>2.5999999999999999E-2</v>
          </cell>
          <cell r="L906" t="str">
            <v>Kg</v>
          </cell>
          <cell r="M906">
            <v>38.739555555555555</v>
          </cell>
        </row>
        <row r="907">
          <cell r="H907">
            <v>216000039</v>
          </cell>
          <cell r="I907" t="str">
            <v>Creme Crocante</v>
          </cell>
          <cell r="J907">
            <v>1.1597666666666666</v>
          </cell>
          <cell r="K907">
            <v>0.02</v>
          </cell>
          <cell r="L907" t="str">
            <v>kg</v>
          </cell>
          <cell r="M907">
            <v>57.98833333333333</v>
          </cell>
        </row>
        <row r="908">
          <cell r="H908">
            <v>220100008</v>
          </cell>
          <cell r="I908" t="str">
            <v>Guardanapo Embalado</v>
          </cell>
          <cell r="J908">
            <v>7.1500000000000008E-2</v>
          </cell>
          <cell r="K908">
            <v>1</v>
          </cell>
          <cell r="L908" t="str">
            <v>Un</v>
          </cell>
          <cell r="M908">
            <v>7.1500000000000008E-2</v>
          </cell>
        </row>
        <row r="909">
          <cell r="H909">
            <v>210200049</v>
          </cell>
          <cell r="I909" t="str">
            <v>Tampa 330 ml Milk Shake</v>
          </cell>
          <cell r="J909">
            <v>0.17523</v>
          </cell>
          <cell r="K909">
            <v>1</v>
          </cell>
          <cell r="L909" t="str">
            <v>Un</v>
          </cell>
          <cell r="M909">
            <v>0.17523</v>
          </cell>
        </row>
        <row r="910">
          <cell r="H910">
            <v>210200030</v>
          </cell>
          <cell r="I910" t="str">
            <v>Copo 330 ml Milk Shake</v>
          </cell>
          <cell r="J910">
            <v>0.2827461</v>
          </cell>
          <cell r="K910">
            <v>1</v>
          </cell>
          <cell r="L910" t="str">
            <v>Un</v>
          </cell>
          <cell r="M910">
            <v>0.2827461</v>
          </cell>
        </row>
        <row r="911">
          <cell r="B911">
            <v>100300085</v>
          </cell>
          <cell r="C911">
            <v>1032</v>
          </cell>
          <cell r="D911" t="str">
            <v>MsAmarena &amp; Calda Quente 300 ml</v>
          </cell>
          <cell r="E911">
            <v>6.4123746200000005</v>
          </cell>
          <cell r="F911">
            <v>23.066095755395683</v>
          </cell>
          <cell r="G911">
            <v>25.668899774695539</v>
          </cell>
          <cell r="H911">
            <v>216000016</v>
          </cell>
          <cell r="I911" t="str">
            <v>Leite Integral</v>
          </cell>
          <cell r="J911">
            <v>0.12</v>
          </cell>
          <cell r="K911">
            <v>0.03</v>
          </cell>
          <cell r="L911" t="str">
            <v>Kg</v>
          </cell>
          <cell r="M911">
            <v>4</v>
          </cell>
        </row>
        <row r="912">
          <cell r="H912">
            <v>210100007</v>
          </cell>
          <cell r="I912" t="str">
            <v>Bebida Láctea Uht Sabores</v>
          </cell>
          <cell r="J912">
            <v>1.93157622</v>
          </cell>
          <cell r="K912">
            <v>0.17699999999999999</v>
          </cell>
          <cell r="L912" t="str">
            <v>Lt</v>
          </cell>
          <cell r="M912">
            <v>10.91286</v>
          </cell>
        </row>
        <row r="913">
          <cell r="H913">
            <v>210200021</v>
          </cell>
          <cell r="I913" t="str">
            <v>Canudo para Milk Shake 10 mm</v>
          </cell>
          <cell r="J913">
            <v>0.12690729999999997</v>
          </cell>
          <cell r="K913">
            <v>1</v>
          </cell>
          <cell r="L913" t="str">
            <v>Un</v>
          </cell>
          <cell r="M913">
            <v>0.12690729999999997</v>
          </cell>
        </row>
        <row r="914">
          <cell r="H914">
            <v>216000078</v>
          </cell>
          <cell r="I914" t="str">
            <v>Variegato Amarena Rubino</v>
          </cell>
          <cell r="J914">
            <v>3.0875000000000004</v>
          </cell>
          <cell r="K914">
            <v>2.5000000000000001E-2</v>
          </cell>
          <cell r="L914" t="str">
            <v>Kg</v>
          </cell>
          <cell r="M914">
            <v>123.5</v>
          </cell>
        </row>
        <row r="915">
          <cell r="H915">
            <v>210900005</v>
          </cell>
          <cell r="I915" t="str">
            <v>Stracciatella Meio Amarga</v>
          </cell>
          <cell r="J915">
            <v>0.61691499999999999</v>
          </cell>
          <cell r="K915">
            <v>0.02</v>
          </cell>
          <cell r="L915" t="str">
            <v>kg</v>
          </cell>
          <cell r="M915">
            <v>30.845749999999999</v>
          </cell>
        </row>
        <row r="916">
          <cell r="H916">
            <v>220100008</v>
          </cell>
          <cell r="I916" t="str">
            <v>Guardanapo Embalado</v>
          </cell>
          <cell r="J916">
            <v>7.1500000000000008E-2</v>
          </cell>
          <cell r="K916">
            <v>1</v>
          </cell>
          <cell r="L916" t="str">
            <v>Un</v>
          </cell>
          <cell r="M916">
            <v>7.1500000000000008E-2</v>
          </cell>
        </row>
        <row r="917">
          <cell r="H917">
            <v>210200049</v>
          </cell>
          <cell r="I917" t="str">
            <v>Tampa 330 ml Milk Shake</v>
          </cell>
          <cell r="J917">
            <v>0.17523</v>
          </cell>
          <cell r="K917">
            <v>1</v>
          </cell>
          <cell r="L917" t="str">
            <v>Un</v>
          </cell>
          <cell r="M917">
            <v>0.17523</v>
          </cell>
        </row>
        <row r="918">
          <cell r="H918">
            <v>210200030</v>
          </cell>
          <cell r="I918" t="str">
            <v>Copo 330 ml Milk Shake</v>
          </cell>
          <cell r="J918">
            <v>0.2827461</v>
          </cell>
          <cell r="K918">
            <v>1</v>
          </cell>
          <cell r="L918" t="str">
            <v>Un</v>
          </cell>
          <cell r="M918">
            <v>0.2827461</v>
          </cell>
        </row>
        <row r="919">
          <cell r="B919">
            <v>100300086</v>
          </cell>
          <cell r="C919">
            <v>1032</v>
          </cell>
          <cell r="D919" t="str">
            <v>MsPistache 300 ml</v>
          </cell>
          <cell r="E919">
            <v>7.0494396199999994</v>
          </cell>
          <cell r="F919">
            <v>25.357696474820138</v>
          </cell>
          <cell r="G919">
            <v>27.866290906281346</v>
          </cell>
          <cell r="H919">
            <v>216000016</v>
          </cell>
          <cell r="I919" t="str">
            <v>Leite Integral</v>
          </cell>
          <cell r="J919">
            <v>0.12</v>
          </cell>
          <cell r="K919">
            <v>0.03</v>
          </cell>
          <cell r="L919" t="str">
            <v>Kg</v>
          </cell>
          <cell r="M919">
            <v>4</v>
          </cell>
        </row>
        <row r="920">
          <cell r="H920">
            <v>210100007</v>
          </cell>
          <cell r="I920" t="str">
            <v>Bebida Láctea Uht Sabores</v>
          </cell>
          <cell r="J920">
            <v>1.93157622</v>
          </cell>
          <cell r="K920">
            <v>0.17699999999999999</v>
          </cell>
          <cell r="L920" t="str">
            <v>Lt</v>
          </cell>
          <cell r="M920">
            <v>10.91286</v>
          </cell>
        </row>
        <row r="921">
          <cell r="H921">
            <v>210200021</v>
          </cell>
          <cell r="I921" t="str">
            <v>Canudo para Milk Shake 10 mm</v>
          </cell>
          <cell r="J921">
            <v>0.12690729999999997</v>
          </cell>
          <cell r="K921">
            <v>1</v>
          </cell>
          <cell r="L921" t="str">
            <v>Un</v>
          </cell>
          <cell r="M921">
            <v>0.12690729999999997</v>
          </cell>
        </row>
        <row r="922">
          <cell r="H922">
            <v>216000068</v>
          </cell>
          <cell r="I922" t="str">
            <v>Crempistache</v>
          </cell>
          <cell r="J922">
            <v>4.3414799999999998</v>
          </cell>
          <cell r="K922">
            <v>0.03</v>
          </cell>
          <cell r="L922" t="str">
            <v>Kg</v>
          </cell>
          <cell r="M922">
            <v>144.71600000000001</v>
          </cell>
        </row>
        <row r="923">
          <cell r="H923">
            <v>220100008</v>
          </cell>
          <cell r="I923" t="str">
            <v>Guardanapo Embalado</v>
          </cell>
          <cell r="J923">
            <v>7.1500000000000008E-2</v>
          </cell>
          <cell r="K923">
            <v>1</v>
          </cell>
          <cell r="L923" t="str">
            <v>Un</v>
          </cell>
          <cell r="M923">
            <v>7.1500000000000008E-2</v>
          </cell>
        </row>
        <row r="924">
          <cell r="H924">
            <v>210200049</v>
          </cell>
          <cell r="I924" t="str">
            <v>Tampa 330 ml Milk Shake</v>
          </cell>
          <cell r="J924">
            <v>0.17523</v>
          </cell>
          <cell r="K924">
            <v>1</v>
          </cell>
          <cell r="L924" t="str">
            <v>Un</v>
          </cell>
          <cell r="M924">
            <v>0.17523</v>
          </cell>
        </row>
        <row r="925">
          <cell r="H925">
            <v>210200030</v>
          </cell>
          <cell r="I925" t="str">
            <v>Copo 330 ml Milk Shake</v>
          </cell>
          <cell r="J925">
            <v>0.2827461</v>
          </cell>
          <cell r="K925">
            <v>1</v>
          </cell>
          <cell r="L925" t="str">
            <v>Un</v>
          </cell>
          <cell r="M925">
            <v>0.2827461</v>
          </cell>
        </row>
        <row r="926">
          <cell r="B926">
            <v>100300087</v>
          </cell>
          <cell r="C926">
            <v>1032</v>
          </cell>
          <cell r="D926" t="str">
            <v>MsPuro Leite 300 ml</v>
          </cell>
          <cell r="E926">
            <v>3.5659596200000001</v>
          </cell>
          <cell r="F926">
            <v>12.827192877697842</v>
          </cell>
          <cell r="G926">
            <v>15.850926604276786</v>
          </cell>
          <cell r="H926">
            <v>216000016</v>
          </cell>
          <cell r="I926" t="str">
            <v>Leite Integral</v>
          </cell>
          <cell r="J926">
            <v>0.12</v>
          </cell>
          <cell r="K926">
            <v>0.03</v>
          </cell>
          <cell r="L926" t="str">
            <v>Kg</v>
          </cell>
          <cell r="M926">
            <v>4</v>
          </cell>
        </row>
        <row r="927">
          <cell r="H927">
            <v>210100007</v>
          </cell>
          <cell r="I927" t="str">
            <v>Bebida Láctea Uht Sabores</v>
          </cell>
          <cell r="J927">
            <v>1.93157622</v>
          </cell>
          <cell r="K927">
            <v>0.17699999999999999</v>
          </cell>
          <cell r="L927" t="str">
            <v>Lt</v>
          </cell>
          <cell r="M927">
            <v>10.91286</v>
          </cell>
        </row>
        <row r="928">
          <cell r="H928">
            <v>210200021</v>
          </cell>
          <cell r="I928" t="str">
            <v>Canudo para Milk Shake 10 mm</v>
          </cell>
          <cell r="J928">
            <v>0.12690729999999997</v>
          </cell>
          <cell r="K928">
            <v>1</v>
          </cell>
          <cell r="L928" t="str">
            <v>Un</v>
          </cell>
          <cell r="M928">
            <v>0.12690729999999997</v>
          </cell>
        </row>
        <row r="929">
          <cell r="H929">
            <v>216000077</v>
          </cell>
          <cell r="I929" t="str">
            <v>Caribe Leitinho</v>
          </cell>
          <cell r="J929">
            <v>0.85799999999999987</v>
          </cell>
          <cell r="K929">
            <v>0.03</v>
          </cell>
          <cell r="L929" t="str">
            <v>Kg</v>
          </cell>
          <cell r="M929">
            <v>28.599999999999998</v>
          </cell>
        </row>
        <row r="930">
          <cell r="H930">
            <v>220100008</v>
          </cell>
          <cell r="I930" t="str">
            <v>Guardanapo Embalado</v>
          </cell>
          <cell r="J930">
            <v>7.1500000000000008E-2</v>
          </cell>
          <cell r="K930">
            <v>1</v>
          </cell>
          <cell r="L930" t="str">
            <v>Un</v>
          </cell>
          <cell r="M930">
            <v>7.1500000000000008E-2</v>
          </cell>
        </row>
        <row r="931">
          <cell r="H931">
            <v>210200049</v>
          </cell>
          <cell r="I931" t="str">
            <v>Tampa 330 ml Milk Shake</v>
          </cell>
          <cell r="J931">
            <v>0.17523</v>
          </cell>
          <cell r="K931">
            <v>1</v>
          </cell>
          <cell r="L931" t="str">
            <v>Un</v>
          </cell>
          <cell r="M931">
            <v>0.17523</v>
          </cell>
        </row>
        <row r="932">
          <cell r="H932">
            <v>210200030</v>
          </cell>
          <cell r="I932" t="str">
            <v>Copo 330 ml Milk Shake</v>
          </cell>
          <cell r="J932">
            <v>0.2827461</v>
          </cell>
          <cell r="K932">
            <v>1</v>
          </cell>
          <cell r="L932" t="str">
            <v>Un</v>
          </cell>
          <cell r="M932">
            <v>0.2827461</v>
          </cell>
        </row>
        <row r="933">
          <cell r="B933">
            <v>100300088</v>
          </cell>
          <cell r="C933">
            <v>1032</v>
          </cell>
          <cell r="D933" t="str">
            <v>MsBeijinho com Coco da Malásia 300 ml</v>
          </cell>
          <cell r="E933">
            <v>6.1646596200000001</v>
          </cell>
          <cell r="F933">
            <v>22.175034604316544</v>
          </cell>
          <cell r="G933">
            <v>24.814470879432449</v>
          </cell>
          <cell r="H933">
            <v>216000016</v>
          </cell>
          <cell r="I933" t="str">
            <v>Leite Integral</v>
          </cell>
          <cell r="J933">
            <v>0.12</v>
          </cell>
          <cell r="K933">
            <v>0.03</v>
          </cell>
          <cell r="L933" t="str">
            <v>Kg</v>
          </cell>
          <cell r="M933">
            <v>4</v>
          </cell>
        </row>
        <row r="934">
          <cell r="H934">
            <v>210100007</v>
          </cell>
          <cell r="I934" t="str">
            <v>Bebida Láctea Uht Sabores</v>
          </cell>
          <cell r="J934">
            <v>1.93157622</v>
          </cell>
          <cell r="K934">
            <v>0.17699999999999999</v>
          </cell>
          <cell r="L934" t="str">
            <v>Lt</v>
          </cell>
          <cell r="M934">
            <v>10.91286</v>
          </cell>
        </row>
        <row r="935">
          <cell r="H935">
            <v>210200021</v>
          </cell>
          <cell r="I935" t="str">
            <v>Canudo para Milk Shake 10 mm</v>
          </cell>
          <cell r="J935">
            <v>0.12690729999999997</v>
          </cell>
          <cell r="K935">
            <v>1</v>
          </cell>
          <cell r="L935" t="str">
            <v>Un</v>
          </cell>
          <cell r="M935">
            <v>0.12690729999999997</v>
          </cell>
        </row>
        <row r="936">
          <cell r="H936">
            <v>216000077</v>
          </cell>
          <cell r="I936" t="str">
            <v>Caribe Leitinho</v>
          </cell>
          <cell r="J936">
            <v>0.85799999999999987</v>
          </cell>
          <cell r="K936">
            <v>0.03</v>
          </cell>
          <cell r="L936" t="str">
            <v>Kg</v>
          </cell>
          <cell r="M936">
            <v>28.599999999999998</v>
          </cell>
        </row>
        <row r="937">
          <cell r="H937">
            <v>216000079</v>
          </cell>
          <cell r="I937" t="str">
            <v>Creme Coco Malasia</v>
          </cell>
          <cell r="J937">
            <v>2.5987</v>
          </cell>
          <cell r="K937">
            <v>0.03</v>
          </cell>
          <cell r="L937" t="str">
            <v>Kg</v>
          </cell>
          <cell r="M937">
            <v>86.623333333333335</v>
          </cell>
        </row>
        <row r="938">
          <cell r="H938">
            <v>220100008</v>
          </cell>
          <cell r="I938" t="str">
            <v>Guardanapo Embalado</v>
          </cell>
          <cell r="J938">
            <v>7.1500000000000008E-2</v>
          </cell>
          <cell r="K938">
            <v>1</v>
          </cell>
          <cell r="L938" t="str">
            <v>Un</v>
          </cell>
          <cell r="M938">
            <v>7.1500000000000008E-2</v>
          </cell>
        </row>
        <row r="939">
          <cell r="H939">
            <v>210200049</v>
          </cell>
          <cell r="I939" t="str">
            <v>Tampa 330 ml Milk Shake</v>
          </cell>
          <cell r="J939">
            <v>0.17523</v>
          </cell>
          <cell r="K939">
            <v>1</v>
          </cell>
          <cell r="L939" t="str">
            <v>Un</v>
          </cell>
          <cell r="M939">
            <v>0.17523</v>
          </cell>
        </row>
        <row r="940">
          <cell r="H940">
            <v>210200030</v>
          </cell>
          <cell r="I940" t="str">
            <v>Copo 330 ml Milk Shake</v>
          </cell>
          <cell r="J940">
            <v>0.2827461</v>
          </cell>
          <cell r="K940">
            <v>1</v>
          </cell>
          <cell r="L940" t="str">
            <v>Un</v>
          </cell>
          <cell r="M940">
            <v>0.2827461</v>
          </cell>
        </row>
        <row r="941">
          <cell r="B941">
            <v>100400015</v>
          </cell>
          <cell r="C941">
            <v>1004</v>
          </cell>
          <cell r="D941" t="str">
            <v>MsDoce Leite 400 ml</v>
          </cell>
          <cell r="E941">
            <v>4.4814022950000005</v>
          </cell>
          <cell r="F941">
            <v>16.120152140287772</v>
          </cell>
          <cell r="G941">
            <v>19.008509606827847</v>
          </cell>
          <cell r="H941">
            <v>216000016</v>
          </cell>
          <cell r="I941" t="str">
            <v>Leite Integral</v>
          </cell>
          <cell r="J941">
            <v>0.16</v>
          </cell>
          <cell r="K941">
            <v>0.04</v>
          </cell>
          <cell r="L941" t="str">
            <v>Lt</v>
          </cell>
          <cell r="M941">
            <v>4</v>
          </cell>
        </row>
        <row r="942">
          <cell r="H942">
            <v>216000015</v>
          </cell>
          <cell r="I942" t="str">
            <v>Doce de Leite</v>
          </cell>
          <cell r="J942">
            <v>0.98144062500000007</v>
          </cell>
          <cell r="K942">
            <v>4.4999999999999998E-2</v>
          </cell>
          <cell r="L942" t="str">
            <v>kg</v>
          </cell>
          <cell r="M942">
            <v>21.809791666666669</v>
          </cell>
        </row>
        <row r="943">
          <cell r="H943">
            <v>210100001</v>
          </cell>
          <cell r="I943" t="str">
            <v>Bebida Láctea Uht (Baunilha)</v>
          </cell>
          <cell r="J943">
            <v>2.4772192200000003</v>
          </cell>
          <cell r="K943">
            <v>0.22700000000000001</v>
          </cell>
          <cell r="L943" t="str">
            <v>Lt</v>
          </cell>
          <cell r="M943">
            <v>10.91286</v>
          </cell>
        </row>
        <row r="944">
          <cell r="H944">
            <v>210200017</v>
          </cell>
          <cell r="I944" t="str">
            <v>Copo 440 Ml Milk Shake</v>
          </cell>
          <cell r="J944">
            <v>0.37962015000000005</v>
          </cell>
          <cell r="K944">
            <v>1</v>
          </cell>
          <cell r="L944" t="str">
            <v>Un</v>
          </cell>
          <cell r="M944">
            <v>0.37962015000000005</v>
          </cell>
        </row>
        <row r="945">
          <cell r="H945">
            <v>210200023</v>
          </cell>
          <cell r="I945" t="str">
            <v>Tampa 440/550 Ml Milk Shake</v>
          </cell>
          <cell r="J945">
            <v>0.28471500000000005</v>
          </cell>
          <cell r="K945">
            <v>1</v>
          </cell>
          <cell r="L945" t="str">
            <v>Un</v>
          </cell>
          <cell r="M945">
            <v>0.28471500000000005</v>
          </cell>
        </row>
        <row r="946">
          <cell r="H946">
            <v>220100008</v>
          </cell>
          <cell r="I946" t="str">
            <v>Guardanapo Embalado</v>
          </cell>
          <cell r="J946">
            <v>7.1500000000000008E-2</v>
          </cell>
          <cell r="K946">
            <v>1</v>
          </cell>
          <cell r="L946" t="str">
            <v>un</v>
          </cell>
          <cell r="M946">
            <v>7.1500000000000008E-2</v>
          </cell>
        </row>
        <row r="947">
          <cell r="H947">
            <v>210200021</v>
          </cell>
          <cell r="I947" t="str">
            <v>Canudo para Milk Shake 10 mm</v>
          </cell>
          <cell r="J947">
            <v>0.12690729999999997</v>
          </cell>
          <cell r="K947">
            <v>1</v>
          </cell>
          <cell r="L947" t="str">
            <v>Un</v>
          </cell>
          <cell r="M947">
            <v>0.12690729999999997</v>
          </cell>
        </row>
        <row r="948">
          <cell r="B948">
            <v>100400020</v>
          </cell>
          <cell r="C948">
            <v>1004</v>
          </cell>
          <cell r="D948" t="str">
            <v>Msfrutas Vermelhas 400 ml</v>
          </cell>
          <cell r="E948">
            <v>5.1204116700000011</v>
          </cell>
          <cell r="F948">
            <v>18.41874701438849</v>
          </cell>
          <cell r="G948">
            <v>21.212607357646355</v>
          </cell>
          <cell r="H948">
            <v>216000016</v>
          </cell>
          <cell r="I948" t="str">
            <v>Leite Integral</v>
          </cell>
          <cell r="J948">
            <v>0.16</v>
          </cell>
          <cell r="K948">
            <v>0.04</v>
          </cell>
          <cell r="L948" t="str">
            <v>Lt</v>
          </cell>
          <cell r="M948">
            <v>4</v>
          </cell>
        </row>
        <row r="949">
          <cell r="H949">
            <v>210100001</v>
          </cell>
          <cell r="I949" t="str">
            <v>Bebida Láctea Uht (Baunilha)</v>
          </cell>
          <cell r="J949">
            <v>2.4772192200000003</v>
          </cell>
          <cell r="K949">
            <v>0.22700000000000001</v>
          </cell>
          <cell r="L949" t="str">
            <v>Lt</v>
          </cell>
          <cell r="M949">
            <v>10.91286</v>
          </cell>
        </row>
        <row r="950">
          <cell r="H950">
            <v>216099999</v>
          </cell>
          <cell r="I950" t="str">
            <v>Mescla de Frutas Vermelhas</v>
          </cell>
          <cell r="J950">
            <v>1.6204500000000002</v>
          </cell>
          <cell r="K950">
            <v>4.4999999999999998E-2</v>
          </cell>
          <cell r="L950" t="str">
            <v>Kg</v>
          </cell>
          <cell r="M950">
            <v>36.010000000000005</v>
          </cell>
        </row>
        <row r="951">
          <cell r="H951">
            <v>210200017</v>
          </cell>
          <cell r="I951" t="str">
            <v>Copo 440 Ml Milk Shake</v>
          </cell>
          <cell r="J951">
            <v>0.37962015000000005</v>
          </cell>
          <cell r="K951">
            <v>1</v>
          </cell>
          <cell r="L951" t="str">
            <v>Un</v>
          </cell>
          <cell r="M951">
            <v>0.37962015000000005</v>
          </cell>
        </row>
        <row r="952">
          <cell r="H952">
            <v>210200023</v>
          </cell>
          <cell r="I952" t="str">
            <v>Tampa 440/550 Ml Milk Shake</v>
          </cell>
          <cell r="J952">
            <v>0.28471500000000005</v>
          </cell>
          <cell r="K952">
            <v>1</v>
          </cell>
          <cell r="L952" t="str">
            <v>Un</v>
          </cell>
          <cell r="M952">
            <v>0.28471500000000005</v>
          </cell>
        </row>
        <row r="953">
          <cell r="H953">
            <v>220100008</v>
          </cell>
          <cell r="I953" t="str">
            <v>Guardanapo Embalado</v>
          </cell>
          <cell r="J953">
            <v>7.1500000000000008E-2</v>
          </cell>
          <cell r="K953">
            <v>1</v>
          </cell>
          <cell r="L953" t="str">
            <v>Un</v>
          </cell>
          <cell r="M953">
            <v>7.1500000000000008E-2</v>
          </cell>
        </row>
        <row r="954">
          <cell r="H954">
            <v>210200021</v>
          </cell>
          <cell r="I954" t="str">
            <v>Canudo para Milk Shake 10 mm</v>
          </cell>
          <cell r="J954">
            <v>0.12690729999999997</v>
          </cell>
          <cell r="K954">
            <v>1</v>
          </cell>
          <cell r="L954" t="str">
            <v>Un</v>
          </cell>
          <cell r="M954">
            <v>0.12690729999999997</v>
          </cell>
        </row>
        <row r="955">
          <cell r="B955">
            <v>100400027</v>
          </cell>
          <cell r="C955">
            <v>1004</v>
          </cell>
          <cell r="D955" t="str">
            <v>MsChocolate Branco 400 ml</v>
          </cell>
          <cell r="E955">
            <v>4.6134116700000014</v>
          </cell>
          <cell r="F955">
            <v>16.595006007194247</v>
          </cell>
          <cell r="G955">
            <v>19.463841841232792</v>
          </cell>
          <cell r="H955">
            <v>216000016</v>
          </cell>
          <cell r="I955" t="str">
            <v>Leite Integral</v>
          </cell>
          <cell r="J955">
            <v>0.16</v>
          </cell>
          <cell r="K955">
            <v>0.04</v>
          </cell>
          <cell r="L955" t="str">
            <v>Lt</v>
          </cell>
          <cell r="M955">
            <v>4</v>
          </cell>
        </row>
        <row r="956">
          <cell r="H956">
            <v>210100001</v>
          </cell>
          <cell r="I956" t="str">
            <v>Bebida Láctea Uht (Baunilha)</v>
          </cell>
          <cell r="J956">
            <v>2.4772192200000003</v>
          </cell>
          <cell r="K956">
            <v>0.22700000000000001</v>
          </cell>
          <cell r="L956" t="str">
            <v>Lt</v>
          </cell>
          <cell r="M956">
            <v>10.91286</v>
          </cell>
        </row>
        <row r="957">
          <cell r="H957">
            <v>210900006</v>
          </cell>
          <cell r="I957" t="str">
            <v>Stracciatella Branca</v>
          </cell>
          <cell r="J957">
            <v>1.1134500000000003</v>
          </cell>
          <cell r="K957">
            <v>0.03</v>
          </cell>
          <cell r="L957" t="str">
            <v>Kg</v>
          </cell>
          <cell r="M957">
            <v>37.115000000000009</v>
          </cell>
        </row>
        <row r="958">
          <cell r="H958">
            <v>210200017</v>
          </cell>
          <cell r="I958" t="str">
            <v>Copo 440 Ml Milk Shake</v>
          </cell>
          <cell r="J958">
            <v>0.37962015000000005</v>
          </cell>
          <cell r="K958">
            <v>1</v>
          </cell>
          <cell r="L958" t="str">
            <v>Un</v>
          </cell>
          <cell r="M958">
            <v>0.37962015000000005</v>
          </cell>
        </row>
        <row r="959">
          <cell r="H959">
            <v>210200023</v>
          </cell>
          <cell r="I959" t="str">
            <v>Tampa 440/550 Ml Milk Shake</v>
          </cell>
          <cell r="J959">
            <v>0.28471500000000005</v>
          </cell>
          <cell r="K959">
            <v>1</v>
          </cell>
          <cell r="L959" t="str">
            <v>Un</v>
          </cell>
          <cell r="M959">
            <v>0.28471500000000005</v>
          </cell>
        </row>
        <row r="960">
          <cell r="H960">
            <v>220100008</v>
          </cell>
          <cell r="I960" t="str">
            <v>Guardanapo Embalado</v>
          </cell>
          <cell r="J960">
            <v>7.1500000000000008E-2</v>
          </cell>
          <cell r="K960">
            <v>1</v>
          </cell>
          <cell r="L960" t="str">
            <v>Un</v>
          </cell>
          <cell r="M960">
            <v>7.1500000000000008E-2</v>
          </cell>
        </row>
        <row r="961">
          <cell r="H961">
            <v>210200021</v>
          </cell>
          <cell r="I961" t="str">
            <v>Canudo para Milk Shake 10 mm</v>
          </cell>
          <cell r="J961">
            <v>0.12690729999999997</v>
          </cell>
          <cell r="K961">
            <v>1</v>
          </cell>
          <cell r="L961" t="str">
            <v>Un</v>
          </cell>
          <cell r="M961">
            <v>0.12690729999999997</v>
          </cell>
        </row>
        <row r="962">
          <cell r="B962">
            <v>100400031</v>
          </cell>
          <cell r="C962">
            <v>1004</v>
          </cell>
          <cell r="D962" t="str">
            <v>MsMaracuja 400 ml</v>
          </cell>
          <cell r="E962">
            <v>4.3078188128571435</v>
          </cell>
          <cell r="F962">
            <v>15.495751125385407</v>
          </cell>
          <cell r="G962">
            <v>18.409778230515386</v>
          </cell>
          <cell r="H962">
            <v>216000016</v>
          </cell>
          <cell r="I962" t="str">
            <v>Leite Integral</v>
          </cell>
          <cell r="J962">
            <v>0.16</v>
          </cell>
          <cell r="K962">
            <v>0.04</v>
          </cell>
          <cell r="L962" t="str">
            <v>Lt</v>
          </cell>
          <cell r="M962">
            <v>4</v>
          </cell>
        </row>
        <row r="963">
          <cell r="H963">
            <v>210100001</v>
          </cell>
          <cell r="I963" t="str">
            <v>Bebida Láctea Uht (Baunilha)</v>
          </cell>
          <cell r="J963">
            <v>2.4772192200000003</v>
          </cell>
          <cell r="K963">
            <v>0.22700000000000001</v>
          </cell>
          <cell r="L963" t="str">
            <v>Lt</v>
          </cell>
          <cell r="M963">
            <v>10.91286</v>
          </cell>
        </row>
        <row r="964">
          <cell r="H964">
            <v>210400015</v>
          </cell>
          <cell r="I964" t="str">
            <v>Mescla de Maracujá</v>
          </cell>
          <cell r="J964">
            <v>0.80785714285714294</v>
          </cell>
          <cell r="K964">
            <v>0.03</v>
          </cell>
          <cell r="L964" t="str">
            <v>Kg</v>
          </cell>
          <cell r="M964">
            <v>26.928571428571431</v>
          </cell>
        </row>
        <row r="965">
          <cell r="H965">
            <v>210200017</v>
          </cell>
          <cell r="I965" t="str">
            <v>Copo 440 Ml Milk Shake</v>
          </cell>
          <cell r="J965">
            <v>0.37962015000000005</v>
          </cell>
          <cell r="K965">
            <v>1</v>
          </cell>
          <cell r="L965" t="str">
            <v>Un</v>
          </cell>
          <cell r="M965">
            <v>0.37962015000000005</v>
          </cell>
        </row>
        <row r="966">
          <cell r="H966">
            <v>210200023</v>
          </cell>
          <cell r="I966" t="str">
            <v>Tampa 440/550 Ml Milk Shake</v>
          </cell>
          <cell r="J966">
            <v>0.28471500000000005</v>
          </cell>
          <cell r="K966">
            <v>1</v>
          </cell>
          <cell r="L966" t="str">
            <v>Un</v>
          </cell>
          <cell r="M966">
            <v>0.28471500000000005</v>
          </cell>
        </row>
        <row r="967">
          <cell r="H967">
            <v>220100008</v>
          </cell>
          <cell r="I967" t="str">
            <v>Guardanapo Embalado</v>
          </cell>
          <cell r="J967">
            <v>7.1500000000000008E-2</v>
          </cell>
          <cell r="K967">
            <v>1</v>
          </cell>
          <cell r="L967" t="str">
            <v>Un</v>
          </cell>
          <cell r="M967">
            <v>7.1500000000000008E-2</v>
          </cell>
        </row>
        <row r="968">
          <cell r="H968">
            <v>210200021</v>
          </cell>
          <cell r="I968" t="str">
            <v>Canudo para Milk Shake 10 mm</v>
          </cell>
          <cell r="J968">
            <v>0.12690729999999997</v>
          </cell>
          <cell r="K968">
            <v>1</v>
          </cell>
          <cell r="L968" t="str">
            <v>Un</v>
          </cell>
          <cell r="M968">
            <v>0.12690729999999997</v>
          </cell>
        </row>
        <row r="969">
          <cell r="B969">
            <v>100400035</v>
          </cell>
          <cell r="C969">
            <v>1004</v>
          </cell>
          <cell r="D969" t="str">
            <v>Msmorango 400 ml</v>
          </cell>
          <cell r="E969">
            <v>4.9490902414285722</v>
          </cell>
          <cell r="F969">
            <v>17.802482882836589</v>
          </cell>
          <cell r="G969">
            <v>20.621678350726388</v>
          </cell>
          <cell r="H969">
            <v>210400016</v>
          </cell>
          <cell r="I969" t="str">
            <v>Mescla de Morango</v>
          </cell>
          <cell r="J969">
            <v>1.4491285714285713</v>
          </cell>
          <cell r="K969">
            <v>4.4999999999999998E-2</v>
          </cell>
          <cell r="L969" t="str">
            <v>Kg</v>
          </cell>
          <cell r="M969">
            <v>32.202857142857141</v>
          </cell>
        </row>
        <row r="970">
          <cell r="H970">
            <v>216000016</v>
          </cell>
          <cell r="I970" t="str">
            <v>Leite Integral</v>
          </cell>
          <cell r="J970">
            <v>0.16</v>
          </cell>
          <cell r="K970">
            <v>0.04</v>
          </cell>
          <cell r="L970" t="str">
            <v>Lt</v>
          </cell>
          <cell r="M970">
            <v>4</v>
          </cell>
        </row>
        <row r="971">
          <cell r="H971">
            <v>210100001</v>
          </cell>
          <cell r="I971" t="str">
            <v>Bebida Láctea Uht (Baunilha)</v>
          </cell>
          <cell r="J971">
            <v>2.4772192200000003</v>
          </cell>
          <cell r="K971">
            <v>0.22700000000000001</v>
          </cell>
          <cell r="L971" t="str">
            <v>Lt</v>
          </cell>
          <cell r="M971">
            <v>10.91286</v>
          </cell>
        </row>
        <row r="972">
          <cell r="H972">
            <v>210200017</v>
          </cell>
          <cell r="I972" t="str">
            <v>Copo 440 Ml Milk Shake</v>
          </cell>
          <cell r="J972">
            <v>0.37962015000000005</v>
          </cell>
          <cell r="K972">
            <v>1</v>
          </cell>
          <cell r="L972" t="str">
            <v>Un</v>
          </cell>
          <cell r="M972">
            <v>0.37962015000000005</v>
          </cell>
        </row>
        <row r="973">
          <cell r="H973">
            <v>220100008</v>
          </cell>
          <cell r="I973" t="str">
            <v>Guardanapo Embalado</v>
          </cell>
          <cell r="J973">
            <v>7.1500000000000008E-2</v>
          </cell>
          <cell r="K973">
            <v>1</v>
          </cell>
          <cell r="L973" t="str">
            <v>un</v>
          </cell>
          <cell r="M973">
            <v>7.1500000000000008E-2</v>
          </cell>
        </row>
        <row r="974">
          <cell r="H974">
            <v>210200023</v>
          </cell>
          <cell r="I974" t="str">
            <v>Tampa 440/550 Ml Milk Shake</v>
          </cell>
          <cell r="J974">
            <v>0.28471500000000005</v>
          </cell>
          <cell r="K974">
            <v>1</v>
          </cell>
          <cell r="L974" t="str">
            <v>Un</v>
          </cell>
          <cell r="M974">
            <v>0.28471500000000005</v>
          </cell>
        </row>
        <row r="975">
          <cell r="H975">
            <v>210200021</v>
          </cell>
          <cell r="I975" t="str">
            <v>Canudo para Milk Shake 10 mm</v>
          </cell>
          <cell r="J975">
            <v>0.12690729999999997</v>
          </cell>
          <cell r="K975">
            <v>1</v>
          </cell>
          <cell r="L975" t="str">
            <v>Un</v>
          </cell>
          <cell r="M975">
            <v>0.12690729999999997</v>
          </cell>
        </row>
        <row r="976">
          <cell r="B976">
            <v>100400042</v>
          </cell>
          <cell r="C976">
            <v>1004</v>
          </cell>
          <cell r="D976" t="str">
            <v>MsBombom de Morango 400 ml</v>
          </cell>
          <cell r="E976">
            <v>5.8744627414285722</v>
          </cell>
          <cell r="F976">
            <v>21.131160940390547</v>
          </cell>
          <cell r="G976">
            <v>23.813511719241987</v>
          </cell>
          <cell r="H976">
            <v>210400016</v>
          </cell>
          <cell r="I976" t="str">
            <v>Mescla de Morango</v>
          </cell>
          <cell r="J976">
            <v>1.4491285714285713</v>
          </cell>
          <cell r="K976">
            <v>4.4999999999999998E-2</v>
          </cell>
          <cell r="L976" t="str">
            <v>Kg</v>
          </cell>
          <cell r="M976">
            <v>32.202857142857141</v>
          </cell>
        </row>
        <row r="977">
          <cell r="H977">
            <v>216000016</v>
          </cell>
          <cell r="I977" t="str">
            <v>Leite Integral</v>
          </cell>
          <cell r="J977">
            <v>0.16</v>
          </cell>
          <cell r="K977">
            <v>0.04</v>
          </cell>
          <cell r="L977" t="str">
            <v>Lt</v>
          </cell>
          <cell r="M977">
            <v>4</v>
          </cell>
        </row>
        <row r="978">
          <cell r="H978">
            <v>210100001</v>
          </cell>
          <cell r="I978" t="str">
            <v>Bebida Láctea Uht (Baunilha)</v>
          </cell>
          <cell r="J978">
            <v>2.4772192200000003</v>
          </cell>
          <cell r="K978">
            <v>0.22700000000000001</v>
          </cell>
          <cell r="L978" t="str">
            <v>Lt</v>
          </cell>
          <cell r="M978">
            <v>10.91286</v>
          </cell>
        </row>
        <row r="979">
          <cell r="H979">
            <v>210900005</v>
          </cell>
          <cell r="I979" t="str">
            <v>Stracciatella Meio Amarga</v>
          </cell>
          <cell r="J979">
            <v>0.92537249999999993</v>
          </cell>
          <cell r="K979">
            <v>0.03</v>
          </cell>
          <cell r="L979" t="str">
            <v>Kg</v>
          </cell>
          <cell r="M979">
            <v>30.845749999999999</v>
          </cell>
        </row>
        <row r="980">
          <cell r="H980">
            <v>210200017</v>
          </cell>
          <cell r="I980" t="str">
            <v>Copo 440 Ml Milk Shake</v>
          </cell>
          <cell r="J980">
            <v>0.37962015000000005</v>
          </cell>
          <cell r="K980">
            <v>1</v>
          </cell>
          <cell r="L980" t="str">
            <v>Un</v>
          </cell>
          <cell r="M980">
            <v>0.37962015000000005</v>
          </cell>
        </row>
        <row r="981">
          <cell r="H981">
            <v>210200023</v>
          </cell>
          <cell r="I981" t="str">
            <v>Tampa 440/550 Ml Milk Shake</v>
          </cell>
          <cell r="J981">
            <v>0.28471500000000005</v>
          </cell>
          <cell r="K981">
            <v>1</v>
          </cell>
          <cell r="L981" t="str">
            <v>Un</v>
          </cell>
          <cell r="M981">
            <v>0.28471500000000005</v>
          </cell>
        </row>
        <row r="982">
          <cell r="H982">
            <v>220100008</v>
          </cell>
          <cell r="I982" t="str">
            <v>Guardanapo Embalado</v>
          </cell>
          <cell r="J982">
            <v>7.1500000000000008E-2</v>
          </cell>
          <cell r="K982">
            <v>1</v>
          </cell>
          <cell r="L982" t="str">
            <v>Un</v>
          </cell>
          <cell r="M982">
            <v>7.1500000000000008E-2</v>
          </cell>
        </row>
        <row r="983">
          <cell r="H983">
            <v>210200021</v>
          </cell>
          <cell r="I983" t="str">
            <v>Canudo para Milk Shake 10 mm</v>
          </cell>
          <cell r="J983">
            <v>0.12690729999999997</v>
          </cell>
          <cell r="K983">
            <v>1</v>
          </cell>
          <cell r="L983" t="str">
            <v>Un</v>
          </cell>
          <cell r="M983">
            <v>0.12690729999999997</v>
          </cell>
        </row>
        <row r="984">
          <cell r="B984">
            <v>100400005</v>
          </cell>
          <cell r="C984">
            <v>1004</v>
          </cell>
          <cell r="D984" t="str">
            <v>Msbrigadeiro 400 ml</v>
          </cell>
          <cell r="E984">
            <v>4.1370903828712882</v>
          </cell>
          <cell r="F984">
            <v>14.881620082270819</v>
          </cell>
          <cell r="G984">
            <v>17.820894619015011</v>
          </cell>
          <cell r="H984">
            <v>216000016</v>
          </cell>
          <cell r="I984" t="str">
            <v>Leite Integral</v>
          </cell>
          <cell r="J984">
            <v>0.16</v>
          </cell>
          <cell r="K984">
            <v>0.04</v>
          </cell>
          <cell r="L984" t="str">
            <v>Lt</v>
          </cell>
          <cell r="M984">
            <v>4</v>
          </cell>
        </row>
        <row r="985">
          <cell r="H985">
            <v>210100002</v>
          </cell>
          <cell r="I985" t="str">
            <v>Bebida Láctea Uht (Chocolate)</v>
          </cell>
          <cell r="J985">
            <v>2.4772192200000003</v>
          </cell>
          <cell r="K985">
            <v>0.22700000000000001</v>
          </cell>
          <cell r="L985" t="str">
            <v>Un</v>
          </cell>
          <cell r="M985">
            <v>10.91286</v>
          </cell>
        </row>
        <row r="986">
          <cell r="H986">
            <v>210900009</v>
          </cell>
          <cell r="I986" t="str">
            <v>Chocolate Granulado</v>
          </cell>
          <cell r="J986">
            <v>0.63712871287128714</v>
          </cell>
          <cell r="K986">
            <v>0.03</v>
          </cell>
          <cell r="L986" t="str">
            <v>Kg</v>
          </cell>
          <cell r="M986">
            <v>21.237623762376238</v>
          </cell>
        </row>
        <row r="987">
          <cell r="H987">
            <v>210200017</v>
          </cell>
          <cell r="I987" t="str">
            <v>Copo 440 Ml Milk Shake</v>
          </cell>
          <cell r="J987">
            <v>0.37962015000000005</v>
          </cell>
          <cell r="K987">
            <v>1</v>
          </cell>
          <cell r="L987" t="str">
            <v>Un</v>
          </cell>
          <cell r="M987">
            <v>0.37962015000000005</v>
          </cell>
        </row>
        <row r="988">
          <cell r="H988">
            <v>210200023</v>
          </cell>
          <cell r="I988" t="str">
            <v>Tampa 440/550 Ml Milk Shake</v>
          </cell>
          <cell r="J988">
            <v>0.28471500000000005</v>
          </cell>
          <cell r="K988">
            <v>1</v>
          </cell>
          <cell r="L988" t="str">
            <v>Un</v>
          </cell>
          <cell r="M988">
            <v>0.28471500000000005</v>
          </cell>
        </row>
        <row r="989">
          <cell r="H989">
            <v>220100008</v>
          </cell>
          <cell r="I989" t="str">
            <v>Guardanapo Embalado</v>
          </cell>
          <cell r="J989">
            <v>7.1500000000000008E-2</v>
          </cell>
          <cell r="K989">
            <v>1</v>
          </cell>
          <cell r="L989" t="str">
            <v>Un</v>
          </cell>
          <cell r="M989">
            <v>7.1500000000000008E-2</v>
          </cell>
        </row>
        <row r="990">
          <cell r="H990">
            <v>210200021</v>
          </cell>
          <cell r="I990" t="str">
            <v>Canudo para Milk Shake 10 mm</v>
          </cell>
          <cell r="J990">
            <v>0.12690729999999997</v>
          </cell>
          <cell r="K990">
            <v>1</v>
          </cell>
          <cell r="L990" t="str">
            <v>Kg</v>
          </cell>
          <cell r="M990">
            <v>0.12690729999999997</v>
          </cell>
        </row>
        <row r="991">
          <cell r="B991">
            <v>100400006</v>
          </cell>
          <cell r="C991">
            <v>1004</v>
          </cell>
          <cell r="D991" t="str">
            <v>Mscappuccino 400 ml</v>
          </cell>
          <cell r="E991">
            <v>4.7944691700000011</v>
          </cell>
          <cell r="F991">
            <v>17.246291978417268</v>
          </cell>
          <cell r="G991">
            <v>20.088352911228945</v>
          </cell>
          <cell r="H991">
            <v>216000016</v>
          </cell>
          <cell r="I991" t="str">
            <v>Leite Integral</v>
          </cell>
          <cell r="J991">
            <v>0.16</v>
          </cell>
          <cell r="K991">
            <v>0.04</v>
          </cell>
          <cell r="L991" t="str">
            <v>Lt</v>
          </cell>
          <cell r="M991">
            <v>4</v>
          </cell>
        </row>
        <row r="992">
          <cell r="H992">
            <v>210100001</v>
          </cell>
          <cell r="I992" t="str">
            <v>Bebida Láctea Uht (Baunilha)</v>
          </cell>
          <cell r="J992">
            <v>2.4772192200000003</v>
          </cell>
          <cell r="K992">
            <v>0.22700000000000001</v>
          </cell>
          <cell r="L992" t="str">
            <v>Kg</v>
          </cell>
          <cell r="M992">
            <v>10.91286</v>
          </cell>
        </row>
        <row r="993">
          <cell r="H993">
            <v>216000023</v>
          </cell>
          <cell r="I993" t="str">
            <v>Cappuccino</v>
          </cell>
          <cell r="J993">
            <v>1.2945075000000001</v>
          </cell>
          <cell r="K993">
            <v>1.95E-2</v>
          </cell>
          <cell r="L993" t="str">
            <v>Lt</v>
          </cell>
          <cell r="M993">
            <v>66.385000000000005</v>
          </cell>
        </row>
        <row r="994">
          <cell r="H994">
            <v>210200017</v>
          </cell>
          <cell r="I994" t="str">
            <v>Copo 440 Ml Milk Shake</v>
          </cell>
          <cell r="J994">
            <v>0.37962015000000005</v>
          </cell>
          <cell r="K994">
            <v>1</v>
          </cell>
          <cell r="L994" t="str">
            <v>Un</v>
          </cell>
          <cell r="M994">
            <v>0.37962015000000005</v>
          </cell>
        </row>
        <row r="995">
          <cell r="H995">
            <v>210200023</v>
          </cell>
          <cell r="I995" t="str">
            <v>Tampa 440/550 Ml Milk Shake</v>
          </cell>
          <cell r="J995">
            <v>0.28471500000000005</v>
          </cell>
          <cell r="K995">
            <v>1</v>
          </cell>
          <cell r="L995" t="str">
            <v>Un</v>
          </cell>
          <cell r="M995">
            <v>0.28471500000000005</v>
          </cell>
        </row>
        <row r="996">
          <cell r="H996">
            <v>220100008</v>
          </cell>
          <cell r="I996" t="str">
            <v>Guardanapo Embalado</v>
          </cell>
          <cell r="J996">
            <v>7.1500000000000008E-2</v>
          </cell>
          <cell r="K996">
            <v>1</v>
          </cell>
          <cell r="L996" t="str">
            <v>Un</v>
          </cell>
          <cell r="M996">
            <v>7.1500000000000008E-2</v>
          </cell>
        </row>
        <row r="997">
          <cell r="H997">
            <v>210200021</v>
          </cell>
          <cell r="I997" t="str">
            <v>Canudo para Milk Shake 10 mm</v>
          </cell>
          <cell r="J997">
            <v>0.12690729999999997</v>
          </cell>
          <cell r="K997">
            <v>1</v>
          </cell>
          <cell r="L997" t="str">
            <v>Un</v>
          </cell>
          <cell r="M997">
            <v>0.12690729999999997</v>
          </cell>
        </row>
        <row r="998">
          <cell r="B998">
            <v>100400046</v>
          </cell>
          <cell r="C998">
            <v>1004</v>
          </cell>
          <cell r="D998" t="str">
            <v>MsMousse de Chocolate 400 ml</v>
          </cell>
          <cell r="E998">
            <v>4.4814022950000005</v>
          </cell>
          <cell r="F998">
            <v>16.120152140287772</v>
          </cell>
          <cell r="G998">
            <v>19.008509606827847</v>
          </cell>
          <cell r="H998">
            <v>216000015</v>
          </cell>
          <cell r="I998" t="str">
            <v>Doce de Leite</v>
          </cell>
          <cell r="J998">
            <v>0.98144062500000007</v>
          </cell>
          <cell r="K998">
            <v>4.4999999999999998E-2</v>
          </cell>
          <cell r="L998" t="str">
            <v>Kg</v>
          </cell>
          <cell r="M998">
            <v>21.809791666666669</v>
          </cell>
        </row>
        <row r="999">
          <cell r="H999">
            <v>216000016</v>
          </cell>
          <cell r="I999" t="str">
            <v>Leite Integral</v>
          </cell>
          <cell r="J999">
            <v>0.16</v>
          </cell>
          <cell r="K999">
            <v>0.04</v>
          </cell>
          <cell r="L999" t="str">
            <v>Lt</v>
          </cell>
          <cell r="M999">
            <v>4</v>
          </cell>
        </row>
        <row r="1000">
          <cell r="H1000">
            <v>210100002</v>
          </cell>
          <cell r="I1000" t="str">
            <v>Bebida Láctea Uht (Chocolate)</v>
          </cell>
          <cell r="J1000">
            <v>2.4772192200000003</v>
          </cell>
          <cell r="K1000">
            <v>0.22700000000000001</v>
          </cell>
          <cell r="L1000" t="str">
            <v>Lt</v>
          </cell>
          <cell r="M1000">
            <v>10.91286</v>
          </cell>
        </row>
        <row r="1001">
          <cell r="H1001">
            <v>210200017</v>
          </cell>
          <cell r="I1001" t="str">
            <v>Copo 440 Ml Milk Shake</v>
          </cell>
          <cell r="J1001">
            <v>0.37962015000000005</v>
          </cell>
          <cell r="K1001">
            <v>1</v>
          </cell>
          <cell r="L1001" t="str">
            <v>Un</v>
          </cell>
          <cell r="M1001">
            <v>0.37962015000000005</v>
          </cell>
        </row>
        <row r="1002">
          <cell r="H1002">
            <v>210200023</v>
          </cell>
          <cell r="I1002" t="str">
            <v>Tampa 440/550 Ml Milk Shake</v>
          </cell>
          <cell r="J1002">
            <v>0.28471500000000005</v>
          </cell>
          <cell r="K1002">
            <v>1</v>
          </cell>
          <cell r="L1002" t="str">
            <v>Un</v>
          </cell>
          <cell r="M1002">
            <v>0.28471500000000005</v>
          </cell>
        </row>
        <row r="1003">
          <cell r="H1003">
            <v>220100008</v>
          </cell>
          <cell r="I1003" t="str">
            <v>Guardanapo Embalado</v>
          </cell>
          <cell r="J1003">
            <v>7.1500000000000008E-2</v>
          </cell>
          <cell r="K1003">
            <v>1</v>
          </cell>
          <cell r="L1003" t="str">
            <v>Un</v>
          </cell>
          <cell r="M1003">
            <v>7.1500000000000008E-2</v>
          </cell>
        </row>
        <row r="1004">
          <cell r="H1004">
            <v>210200021</v>
          </cell>
          <cell r="I1004" t="str">
            <v>Canudo para Milk Shake 10 mm</v>
          </cell>
          <cell r="J1004">
            <v>0.12690729999999997</v>
          </cell>
          <cell r="K1004">
            <v>1</v>
          </cell>
          <cell r="L1004" t="str">
            <v>Un</v>
          </cell>
          <cell r="M1004">
            <v>0.12690729999999997</v>
          </cell>
        </row>
        <row r="1005">
          <cell r="B1005">
            <v>100400011</v>
          </cell>
          <cell r="C1005">
            <v>1004</v>
          </cell>
          <cell r="D1005" t="str">
            <v>MsChocolate 400 ml</v>
          </cell>
          <cell r="E1005">
            <v>3.4999616700000007</v>
          </cell>
          <cell r="F1005">
            <v>12.589790179856116</v>
          </cell>
          <cell r="G1005">
            <v>15.623283726339929</v>
          </cell>
          <cell r="H1005">
            <v>210100002</v>
          </cell>
          <cell r="I1005" t="str">
            <v>Bebida Láctea Uht (Chocolate)</v>
          </cell>
          <cell r="J1005">
            <v>2.4772192200000003</v>
          </cell>
          <cell r="K1005">
            <v>0.22700000000000001</v>
          </cell>
          <cell r="L1005" t="str">
            <v>Lt</v>
          </cell>
          <cell r="M1005">
            <v>10.91286</v>
          </cell>
        </row>
        <row r="1006">
          <cell r="H1006">
            <v>216000016</v>
          </cell>
          <cell r="I1006" t="str">
            <v>Leite Integral</v>
          </cell>
          <cell r="J1006">
            <v>0.16</v>
          </cell>
          <cell r="K1006">
            <v>0.04</v>
          </cell>
          <cell r="L1006" t="str">
            <v>Lt</v>
          </cell>
          <cell r="M1006">
            <v>4</v>
          </cell>
        </row>
        <row r="1007">
          <cell r="H1007">
            <v>210200017</v>
          </cell>
          <cell r="I1007" t="str">
            <v>Copo 440 Ml Milk Shake</v>
          </cell>
          <cell r="J1007">
            <v>0.37962015000000005</v>
          </cell>
          <cell r="K1007">
            <v>1</v>
          </cell>
          <cell r="L1007" t="str">
            <v>Un</v>
          </cell>
          <cell r="M1007">
            <v>0.37962015000000005</v>
          </cell>
        </row>
        <row r="1008">
          <cell r="H1008">
            <v>210200023</v>
          </cell>
          <cell r="I1008" t="str">
            <v>Tampa 440/550 Ml Milk Shake</v>
          </cell>
          <cell r="J1008">
            <v>0.28471500000000005</v>
          </cell>
          <cell r="K1008">
            <v>1</v>
          </cell>
          <cell r="L1008" t="str">
            <v>Un</v>
          </cell>
          <cell r="M1008">
            <v>0.28471500000000005</v>
          </cell>
        </row>
        <row r="1009">
          <cell r="H1009">
            <v>220100008</v>
          </cell>
          <cell r="I1009" t="str">
            <v>Guardanapo Embalado</v>
          </cell>
          <cell r="J1009">
            <v>7.1500000000000008E-2</v>
          </cell>
          <cell r="K1009">
            <v>1</v>
          </cell>
          <cell r="L1009" t="str">
            <v>Un</v>
          </cell>
          <cell r="M1009">
            <v>7.1500000000000008E-2</v>
          </cell>
        </row>
        <row r="1010">
          <cell r="H1010">
            <v>210200021</v>
          </cell>
          <cell r="I1010" t="str">
            <v>Canudo para Milk Shake 10 mm</v>
          </cell>
          <cell r="J1010">
            <v>0.12690729999999997</v>
          </cell>
          <cell r="K1010">
            <v>1</v>
          </cell>
          <cell r="L1010" t="str">
            <v>Un</v>
          </cell>
          <cell r="M1010">
            <v>0.12690729999999997</v>
          </cell>
        </row>
        <row r="1011">
          <cell r="B1011">
            <v>100400012</v>
          </cell>
          <cell r="C1011">
            <v>1004</v>
          </cell>
          <cell r="D1011" t="str">
            <v>MsChocoMenta 400 ml</v>
          </cell>
          <cell r="E1011">
            <v>5.1689341700000009</v>
          </cell>
          <cell r="F1011">
            <v>18.593288381294965</v>
          </cell>
          <cell r="G1011">
            <v>21.379973185595421</v>
          </cell>
          <cell r="H1011">
            <v>216000032</v>
          </cell>
          <cell r="I1011" t="str">
            <v>Creme de Menta</v>
          </cell>
          <cell r="J1011">
            <v>0.74359999999999993</v>
          </cell>
          <cell r="K1011">
            <v>1.0999999999999999E-2</v>
          </cell>
          <cell r="L1011" t="str">
            <v>Kg</v>
          </cell>
          <cell r="M1011">
            <v>67.599999999999994</v>
          </cell>
        </row>
        <row r="1012">
          <cell r="H1012">
            <v>216000016</v>
          </cell>
          <cell r="I1012" t="str">
            <v>Leite Integral</v>
          </cell>
          <cell r="J1012">
            <v>0.16</v>
          </cell>
          <cell r="K1012">
            <v>0.04</v>
          </cell>
          <cell r="L1012" t="str">
            <v>Lt</v>
          </cell>
          <cell r="M1012">
            <v>4</v>
          </cell>
        </row>
        <row r="1013">
          <cell r="H1013">
            <v>210100001</v>
          </cell>
          <cell r="I1013" t="str">
            <v>Bebida Láctea Uht (Baunilha)</v>
          </cell>
          <cell r="J1013">
            <v>2.4772192200000003</v>
          </cell>
          <cell r="K1013">
            <v>0.22700000000000001</v>
          </cell>
          <cell r="L1013" t="str">
            <v>Lt</v>
          </cell>
          <cell r="M1013">
            <v>10.91286</v>
          </cell>
        </row>
        <row r="1014">
          <cell r="H1014">
            <v>210900005</v>
          </cell>
          <cell r="I1014" t="str">
            <v>Stracciatella Meio Amarga</v>
          </cell>
          <cell r="J1014">
            <v>0.92537249999999993</v>
          </cell>
          <cell r="K1014">
            <v>0.03</v>
          </cell>
          <cell r="L1014" t="str">
            <v>Kg</v>
          </cell>
          <cell r="M1014">
            <v>30.845749999999999</v>
          </cell>
        </row>
        <row r="1015">
          <cell r="H1015">
            <v>210200017</v>
          </cell>
          <cell r="I1015" t="str">
            <v>Copo 440 Ml Milk Shake</v>
          </cell>
          <cell r="J1015">
            <v>0.37962015000000005</v>
          </cell>
          <cell r="K1015">
            <v>1</v>
          </cell>
          <cell r="L1015" t="str">
            <v>Un</v>
          </cell>
          <cell r="M1015">
            <v>0.37962015000000005</v>
          </cell>
        </row>
        <row r="1016">
          <cell r="H1016">
            <v>210200023</v>
          </cell>
          <cell r="I1016" t="str">
            <v>Tampa 440/550 Ml Milk Shake</v>
          </cell>
          <cell r="J1016">
            <v>0.28471500000000005</v>
          </cell>
          <cell r="K1016">
            <v>1</v>
          </cell>
          <cell r="L1016" t="str">
            <v>Un</v>
          </cell>
          <cell r="M1016">
            <v>0.28471500000000005</v>
          </cell>
        </row>
        <row r="1017">
          <cell r="H1017">
            <v>220100008</v>
          </cell>
          <cell r="I1017" t="str">
            <v>Guardanapo Embalado</v>
          </cell>
          <cell r="J1017">
            <v>7.1500000000000008E-2</v>
          </cell>
          <cell r="K1017">
            <v>1</v>
          </cell>
          <cell r="L1017" t="str">
            <v>Un</v>
          </cell>
          <cell r="M1017">
            <v>7.1500000000000008E-2</v>
          </cell>
        </row>
        <row r="1018">
          <cell r="H1018">
            <v>210200021</v>
          </cell>
          <cell r="I1018" t="str">
            <v>Canudo para Milk Shake 10 mm</v>
          </cell>
          <cell r="J1018">
            <v>0.12690729999999997</v>
          </cell>
          <cell r="K1018">
            <v>1</v>
          </cell>
          <cell r="L1018" t="str">
            <v>Un</v>
          </cell>
          <cell r="M1018">
            <v>0.12690729999999997</v>
          </cell>
        </row>
        <row r="1019">
          <cell r="B1019">
            <v>100400003</v>
          </cell>
          <cell r="C1019">
            <v>1004</v>
          </cell>
          <cell r="D1019" t="str">
            <v>MsBaunilha 400 ml</v>
          </cell>
          <cell r="E1019">
            <v>3.4999616700000007</v>
          </cell>
          <cell r="F1019">
            <v>12.589790179856116</v>
          </cell>
          <cell r="G1019">
            <v>15.623283726339929</v>
          </cell>
          <cell r="H1019">
            <v>216000016</v>
          </cell>
          <cell r="I1019" t="str">
            <v>Leite Integral</v>
          </cell>
          <cell r="J1019">
            <v>0.16</v>
          </cell>
          <cell r="K1019">
            <v>0.04</v>
          </cell>
          <cell r="L1019" t="str">
            <v>Lt</v>
          </cell>
          <cell r="M1019">
            <v>4</v>
          </cell>
        </row>
        <row r="1020">
          <cell r="H1020">
            <v>210100001</v>
          </cell>
          <cell r="I1020" t="str">
            <v>Bebida Láctea Uht (Baunilha)</v>
          </cell>
          <cell r="J1020">
            <v>2.4772192200000003</v>
          </cell>
          <cell r="K1020">
            <v>0.22700000000000001</v>
          </cell>
          <cell r="L1020" t="str">
            <v>Lt</v>
          </cell>
          <cell r="M1020">
            <v>10.91286</v>
          </cell>
        </row>
        <row r="1021">
          <cell r="H1021">
            <v>210200017</v>
          </cell>
          <cell r="I1021" t="str">
            <v>Copo 440 Ml Milk Shake</v>
          </cell>
          <cell r="J1021">
            <v>0.37962015000000005</v>
          </cell>
          <cell r="K1021">
            <v>1</v>
          </cell>
          <cell r="L1021" t="str">
            <v>Un</v>
          </cell>
          <cell r="M1021">
            <v>0.37962015000000005</v>
          </cell>
        </row>
        <row r="1022">
          <cell r="H1022">
            <v>210200023</v>
          </cell>
          <cell r="I1022" t="str">
            <v>Tampa 440/550 Ml Milk Shake</v>
          </cell>
          <cell r="J1022">
            <v>0.28471500000000005</v>
          </cell>
          <cell r="K1022">
            <v>1</v>
          </cell>
          <cell r="L1022" t="str">
            <v>Un</v>
          </cell>
          <cell r="M1022">
            <v>0.28471500000000005</v>
          </cell>
        </row>
        <row r="1023">
          <cell r="H1023">
            <v>220100008</v>
          </cell>
          <cell r="I1023" t="str">
            <v>Guardanapo Embalado</v>
          </cell>
          <cell r="J1023">
            <v>7.1500000000000008E-2</v>
          </cell>
          <cell r="K1023">
            <v>1</v>
          </cell>
          <cell r="L1023" t="str">
            <v>Un</v>
          </cell>
          <cell r="M1023">
            <v>7.1500000000000008E-2</v>
          </cell>
        </row>
        <row r="1024">
          <cell r="H1024">
            <v>210200021</v>
          </cell>
          <cell r="I1024" t="str">
            <v>Canudo para Milk Shake 10 mm</v>
          </cell>
          <cell r="J1024">
            <v>0.12690729999999997</v>
          </cell>
          <cell r="K1024">
            <v>1</v>
          </cell>
          <cell r="L1024" t="str">
            <v>Un</v>
          </cell>
          <cell r="M1024">
            <v>0.12690729999999997</v>
          </cell>
        </row>
        <row r="1025">
          <cell r="B1025">
            <v>100400018</v>
          </cell>
          <cell r="C1025">
            <v>1004</v>
          </cell>
          <cell r="D1025" t="str">
            <v>MsFlocos 400 ml</v>
          </cell>
          <cell r="E1025">
            <v>4.4253341700000011</v>
          </cell>
          <cell r="F1025">
            <v>15.918468237410075</v>
          </cell>
          <cell r="G1025">
            <v>18.81511709485553</v>
          </cell>
          <cell r="H1025">
            <v>216000016</v>
          </cell>
          <cell r="I1025" t="str">
            <v>Leite Integral</v>
          </cell>
          <cell r="J1025">
            <v>0.16</v>
          </cell>
          <cell r="K1025">
            <v>0.04</v>
          </cell>
          <cell r="L1025" t="str">
            <v>Lt</v>
          </cell>
          <cell r="M1025">
            <v>4</v>
          </cell>
        </row>
        <row r="1026">
          <cell r="H1026">
            <v>210100001</v>
          </cell>
          <cell r="I1026" t="str">
            <v>Bebida Láctea Uht (Baunilha)</v>
          </cell>
          <cell r="J1026">
            <v>2.4772192200000003</v>
          </cell>
          <cell r="K1026">
            <v>0.22700000000000001</v>
          </cell>
          <cell r="L1026" t="str">
            <v>Lt</v>
          </cell>
          <cell r="M1026">
            <v>10.91286</v>
          </cell>
        </row>
        <row r="1027">
          <cell r="H1027">
            <v>210900005</v>
          </cell>
          <cell r="I1027" t="str">
            <v>Stracciatella Meio Amarga</v>
          </cell>
          <cell r="J1027">
            <v>0.92537249999999993</v>
          </cell>
          <cell r="K1027">
            <v>0.03</v>
          </cell>
          <cell r="L1027" t="str">
            <v>Kg</v>
          </cell>
          <cell r="M1027">
            <v>30.845749999999999</v>
          </cell>
        </row>
        <row r="1028">
          <cell r="H1028">
            <v>210200017</v>
          </cell>
          <cell r="I1028" t="str">
            <v>Copo 440 Ml Milk Shake</v>
          </cell>
          <cell r="J1028">
            <v>0.37962015000000005</v>
          </cell>
          <cell r="K1028">
            <v>1</v>
          </cell>
          <cell r="L1028" t="str">
            <v>Un</v>
          </cell>
          <cell r="M1028">
            <v>0.37962015000000005</v>
          </cell>
        </row>
        <row r="1029">
          <cell r="H1029">
            <v>210200023</v>
          </cell>
          <cell r="I1029" t="str">
            <v>Tampa 440/550 Ml Milk Shake</v>
          </cell>
          <cell r="J1029">
            <v>0.28471500000000005</v>
          </cell>
          <cell r="K1029">
            <v>1</v>
          </cell>
          <cell r="L1029" t="str">
            <v>Un</v>
          </cell>
          <cell r="M1029">
            <v>0.28471500000000005</v>
          </cell>
        </row>
        <row r="1030">
          <cell r="H1030">
            <v>220100008</v>
          </cell>
          <cell r="I1030" t="str">
            <v>Guardanapo Embalado</v>
          </cell>
          <cell r="J1030">
            <v>7.1500000000000008E-2</v>
          </cell>
          <cell r="K1030">
            <v>1</v>
          </cell>
          <cell r="L1030" t="str">
            <v>Un</v>
          </cell>
          <cell r="M1030">
            <v>7.1500000000000008E-2</v>
          </cell>
        </row>
        <row r="1031">
          <cell r="H1031">
            <v>210200021</v>
          </cell>
          <cell r="I1031" t="str">
            <v>Canudo para Milk Shake 10 mm</v>
          </cell>
          <cell r="J1031">
            <v>0.12690729999999997</v>
          </cell>
          <cell r="K1031">
            <v>1</v>
          </cell>
          <cell r="L1031" t="str">
            <v>Un</v>
          </cell>
          <cell r="M1031">
            <v>0.12690729999999997</v>
          </cell>
        </row>
        <row r="1032">
          <cell r="B1032">
            <v>100400026</v>
          </cell>
          <cell r="C1032">
            <v>1004</v>
          </cell>
          <cell r="D1032" t="str">
            <v>MsDuo Chocolate 400 ml</v>
          </cell>
          <cell r="E1032">
            <v>5.1082194200000011</v>
          </cell>
          <cell r="F1032">
            <v>18.374890000000001</v>
          </cell>
          <cell r="G1032">
            <v>21.170553341142423</v>
          </cell>
          <cell r="H1032">
            <v>210900005</v>
          </cell>
          <cell r="I1032" t="str">
            <v>Stracciatella Meio Amarga</v>
          </cell>
          <cell r="J1032">
            <v>0.21592025000000001</v>
          </cell>
          <cell r="K1032">
            <v>7.0000000000000001E-3</v>
          </cell>
          <cell r="L1032" t="str">
            <v>Kg</v>
          </cell>
          <cell r="M1032">
            <v>30.845749999999999</v>
          </cell>
        </row>
        <row r="1033">
          <cell r="H1033">
            <v>210900006</v>
          </cell>
          <cell r="I1033" t="str">
            <v>Stracciatella Branca</v>
          </cell>
          <cell r="J1033">
            <v>0.46393750000000011</v>
          </cell>
          <cell r="K1033">
            <v>1.2500000000000001E-2</v>
          </cell>
          <cell r="L1033" t="str">
            <v>Lt</v>
          </cell>
          <cell r="M1033">
            <v>37.115000000000009</v>
          </cell>
        </row>
        <row r="1034">
          <cell r="H1034">
            <v>216000016</v>
          </cell>
          <cell r="I1034" t="str">
            <v>Leite Integral</v>
          </cell>
          <cell r="J1034">
            <v>0.16</v>
          </cell>
          <cell r="K1034">
            <v>0.04</v>
          </cell>
          <cell r="L1034" t="str">
            <v>Lt</v>
          </cell>
          <cell r="M1034">
            <v>4</v>
          </cell>
        </row>
        <row r="1035">
          <cell r="H1035">
            <v>210100001</v>
          </cell>
          <cell r="I1035" t="str">
            <v>Bebida Láctea Uht (Baunilha)</v>
          </cell>
          <cell r="J1035">
            <v>2.4772192200000003</v>
          </cell>
          <cell r="K1035">
            <v>0.22700000000000001</v>
          </cell>
          <cell r="L1035" t="str">
            <v>Lt</v>
          </cell>
          <cell r="M1035">
            <v>10.91286</v>
          </cell>
        </row>
        <row r="1036">
          <cell r="H1036">
            <v>216000017</v>
          </cell>
          <cell r="I1036" t="str">
            <v>Leite em Pó Ninho</v>
          </cell>
          <cell r="J1036">
            <v>0.9284</v>
          </cell>
          <cell r="K1036">
            <v>1.4999999999999999E-2</v>
          </cell>
          <cell r="L1036" t="str">
            <v>Kg</v>
          </cell>
          <cell r="M1036">
            <v>61.893333333333338</v>
          </cell>
        </row>
        <row r="1037">
          <cell r="H1037">
            <v>210200017</v>
          </cell>
          <cell r="I1037" t="str">
            <v>Copo 440 Ml Milk Shake</v>
          </cell>
          <cell r="J1037">
            <v>0.37962015000000005</v>
          </cell>
          <cell r="K1037">
            <v>1</v>
          </cell>
          <cell r="L1037" t="str">
            <v>Un</v>
          </cell>
          <cell r="M1037">
            <v>0.37962015000000005</v>
          </cell>
        </row>
        <row r="1038">
          <cell r="H1038">
            <v>210200023</v>
          </cell>
          <cell r="I1038" t="str">
            <v>Tampa 440/550 Ml Milk Shake</v>
          </cell>
          <cell r="J1038">
            <v>0.28471500000000005</v>
          </cell>
          <cell r="K1038">
            <v>1</v>
          </cell>
          <cell r="L1038" t="str">
            <v>Un</v>
          </cell>
          <cell r="M1038">
            <v>0.28471500000000005</v>
          </cell>
        </row>
        <row r="1039">
          <cell r="H1039">
            <v>220100008</v>
          </cell>
          <cell r="I1039" t="str">
            <v>Guardanapo Embalado</v>
          </cell>
          <cell r="J1039">
            <v>7.1500000000000008E-2</v>
          </cell>
          <cell r="K1039">
            <v>1</v>
          </cell>
          <cell r="L1039" t="str">
            <v>un</v>
          </cell>
          <cell r="M1039">
            <v>7.1500000000000008E-2</v>
          </cell>
        </row>
        <row r="1040">
          <cell r="H1040">
            <v>210200021</v>
          </cell>
          <cell r="I1040" t="str">
            <v>Canudo para Milk Shake 10 mm</v>
          </cell>
          <cell r="J1040">
            <v>0.12690729999999997</v>
          </cell>
          <cell r="K1040">
            <v>1</v>
          </cell>
          <cell r="L1040" t="str">
            <v>Un</v>
          </cell>
          <cell r="M1040">
            <v>0.12690729999999997</v>
          </cell>
        </row>
        <row r="1041">
          <cell r="B1041">
            <v>100400029</v>
          </cell>
          <cell r="C1041">
            <v>1004</v>
          </cell>
          <cell r="D1041" t="str">
            <v>MsNinho 400 ml</v>
          </cell>
          <cell r="E1041">
            <v>4.428361670000001</v>
          </cell>
          <cell r="F1041">
            <v>15.929358525179858</v>
          </cell>
          <cell r="G1041">
            <v>18.825559673950092</v>
          </cell>
          <cell r="H1041">
            <v>216000016</v>
          </cell>
          <cell r="I1041" t="str">
            <v>Leite Integral</v>
          </cell>
          <cell r="J1041">
            <v>0.16</v>
          </cell>
          <cell r="K1041">
            <v>0.04</v>
          </cell>
          <cell r="L1041" t="str">
            <v>Lt</v>
          </cell>
          <cell r="M1041">
            <v>4</v>
          </cell>
        </row>
        <row r="1042">
          <cell r="H1042">
            <v>210100001</v>
          </cell>
          <cell r="I1042" t="str">
            <v>Bebida Láctea Uht (Baunilha)</v>
          </cell>
          <cell r="J1042">
            <v>2.4772192200000003</v>
          </cell>
          <cell r="K1042">
            <v>0.22700000000000001</v>
          </cell>
          <cell r="L1042" t="str">
            <v>Lt</v>
          </cell>
          <cell r="M1042">
            <v>10.91286</v>
          </cell>
        </row>
        <row r="1043">
          <cell r="H1043">
            <v>216000017</v>
          </cell>
          <cell r="I1043" t="str">
            <v>Leite em Pó Ninho</v>
          </cell>
          <cell r="J1043">
            <v>0.9284</v>
          </cell>
          <cell r="K1043">
            <v>1.4999999999999999E-2</v>
          </cell>
          <cell r="L1043" t="str">
            <v>Kg</v>
          </cell>
          <cell r="M1043">
            <v>61.893333333333338</v>
          </cell>
        </row>
        <row r="1044">
          <cell r="H1044">
            <v>210200017</v>
          </cell>
          <cell r="I1044" t="str">
            <v>Copo 440 Ml Milk Shake</v>
          </cell>
          <cell r="J1044">
            <v>0.37962015000000005</v>
          </cell>
          <cell r="K1044">
            <v>1</v>
          </cell>
          <cell r="L1044" t="str">
            <v>Un</v>
          </cell>
          <cell r="M1044">
            <v>0.37962015000000005</v>
          </cell>
        </row>
        <row r="1045">
          <cell r="H1045">
            <v>210200023</v>
          </cell>
          <cell r="I1045" t="str">
            <v>Tampa 440/550 Ml Milk Shake</v>
          </cell>
          <cell r="J1045">
            <v>0.28471500000000005</v>
          </cell>
          <cell r="K1045">
            <v>1</v>
          </cell>
          <cell r="L1045" t="str">
            <v>Un</v>
          </cell>
          <cell r="M1045">
            <v>0.28471500000000005</v>
          </cell>
        </row>
        <row r="1046">
          <cell r="H1046">
            <v>220100008</v>
          </cell>
          <cell r="I1046" t="str">
            <v>Guardanapo Embalado</v>
          </cell>
          <cell r="J1046">
            <v>7.1500000000000008E-2</v>
          </cell>
          <cell r="K1046">
            <v>1</v>
          </cell>
          <cell r="L1046" t="str">
            <v>Un</v>
          </cell>
          <cell r="M1046">
            <v>7.1500000000000008E-2</v>
          </cell>
        </row>
        <row r="1047">
          <cell r="H1047">
            <v>210200021</v>
          </cell>
          <cell r="I1047" t="str">
            <v>Canudo para Milk Shake 10 mm</v>
          </cell>
          <cell r="J1047">
            <v>0.12690729999999997</v>
          </cell>
          <cell r="K1047">
            <v>1</v>
          </cell>
          <cell r="L1047" t="str">
            <v>Un</v>
          </cell>
          <cell r="M1047">
            <v>0.12690729999999997</v>
          </cell>
        </row>
        <row r="1048">
          <cell r="B1048">
            <v>100400037</v>
          </cell>
          <cell r="C1048">
            <v>1004</v>
          </cell>
          <cell r="D1048" t="str">
            <v>MsNutella 400 ml</v>
          </cell>
          <cell r="E1048">
            <v>6.047782530000001</v>
          </cell>
          <cell r="F1048">
            <v>21.754613417266189</v>
          </cell>
          <cell r="G1048">
            <v>24.411333552705109</v>
          </cell>
          <cell r="H1048">
            <v>210100002</v>
          </cell>
          <cell r="I1048" t="str">
            <v>Bebida Láctea Uht (Chocolate)</v>
          </cell>
          <cell r="J1048">
            <v>1.2440660400000001</v>
          </cell>
          <cell r="K1048">
            <v>0.114</v>
          </cell>
          <cell r="L1048" t="str">
            <v>Lt</v>
          </cell>
          <cell r="M1048">
            <v>10.91286</v>
          </cell>
        </row>
        <row r="1049">
          <cell r="H1049">
            <v>210100001</v>
          </cell>
          <cell r="I1049" t="str">
            <v>Bebida Láctea Uht (Baunilha)</v>
          </cell>
          <cell r="J1049">
            <v>1.2440660400000001</v>
          </cell>
          <cell r="K1049">
            <v>0.114</v>
          </cell>
          <cell r="L1049" t="str">
            <v>Lt</v>
          </cell>
          <cell r="M1049">
            <v>10.91286</v>
          </cell>
        </row>
        <row r="1050">
          <cell r="H1050">
            <v>216000050</v>
          </cell>
          <cell r="I1050" t="str">
            <v>Nutella</v>
          </cell>
          <cell r="J1050">
            <v>2.5369079999999999</v>
          </cell>
          <cell r="K1050">
            <v>3.5999999999999997E-2</v>
          </cell>
          <cell r="L1050" t="str">
            <v>Kg</v>
          </cell>
          <cell r="M1050">
            <v>70.469666666666669</v>
          </cell>
        </row>
        <row r="1051">
          <cell r="H1051">
            <v>216000016</v>
          </cell>
          <cell r="I1051" t="str">
            <v>Leite Integral</v>
          </cell>
          <cell r="J1051">
            <v>0.16</v>
          </cell>
          <cell r="K1051">
            <v>0.04</v>
          </cell>
          <cell r="L1051" t="str">
            <v>Lt</v>
          </cell>
          <cell r="M1051">
            <v>4</v>
          </cell>
        </row>
        <row r="1052">
          <cell r="H1052">
            <v>210200017</v>
          </cell>
          <cell r="I1052" t="str">
            <v>Copo 440 Ml Milk Shake</v>
          </cell>
          <cell r="J1052">
            <v>0.37962015000000005</v>
          </cell>
          <cell r="K1052">
            <v>1</v>
          </cell>
          <cell r="L1052" t="str">
            <v>Un</v>
          </cell>
          <cell r="M1052">
            <v>0.37962015000000005</v>
          </cell>
        </row>
        <row r="1053">
          <cell r="H1053">
            <v>210200023</v>
          </cell>
          <cell r="I1053" t="str">
            <v>Tampa 440/550 Ml Milk Shake</v>
          </cell>
          <cell r="J1053">
            <v>0.28471500000000005</v>
          </cell>
          <cell r="K1053">
            <v>1</v>
          </cell>
          <cell r="L1053" t="str">
            <v>Un</v>
          </cell>
          <cell r="M1053">
            <v>0.28471500000000005</v>
          </cell>
        </row>
        <row r="1054">
          <cell r="H1054">
            <v>220100008</v>
          </cell>
          <cell r="I1054" t="str">
            <v>Guardanapo Embalado</v>
          </cell>
          <cell r="J1054">
            <v>7.1500000000000008E-2</v>
          </cell>
          <cell r="K1054">
            <v>1</v>
          </cell>
          <cell r="L1054" t="str">
            <v>Un</v>
          </cell>
          <cell r="M1054">
            <v>7.1500000000000008E-2</v>
          </cell>
        </row>
        <row r="1055">
          <cell r="H1055">
            <v>210200021</v>
          </cell>
          <cell r="I1055" t="str">
            <v>Canudo para Milk Shake 10 mm</v>
          </cell>
          <cell r="J1055">
            <v>0.12690729999999997</v>
          </cell>
          <cell r="K1055">
            <v>1</v>
          </cell>
          <cell r="L1055" t="str">
            <v>Un</v>
          </cell>
          <cell r="M1055">
            <v>0.12690729999999997</v>
          </cell>
        </row>
        <row r="1056">
          <cell r="B1056">
            <v>100400038</v>
          </cell>
          <cell r="C1056">
            <v>1004</v>
          </cell>
          <cell r="D1056" t="str">
            <v>MsChocotino 400 ml</v>
          </cell>
          <cell r="E1056">
            <v>4.6621483366666681</v>
          </cell>
          <cell r="F1056">
            <v>16.770317757793769</v>
          </cell>
          <cell r="G1056">
            <v>19.631946381768511</v>
          </cell>
          <cell r="H1056">
            <v>216000016</v>
          </cell>
          <cell r="I1056" t="str">
            <v>Leite Integral</v>
          </cell>
          <cell r="J1056">
            <v>0.16</v>
          </cell>
          <cell r="K1056">
            <v>0.04</v>
          </cell>
          <cell r="L1056" t="str">
            <v>Kg</v>
          </cell>
          <cell r="M1056">
            <v>4</v>
          </cell>
        </row>
        <row r="1057">
          <cell r="H1057">
            <v>210100001</v>
          </cell>
          <cell r="I1057" t="str">
            <v>Bebida Láctea Uht (Baunilha)</v>
          </cell>
          <cell r="J1057">
            <v>2.4772192200000003</v>
          </cell>
          <cell r="K1057">
            <v>0.22700000000000001</v>
          </cell>
          <cell r="L1057" t="str">
            <v>Lt</v>
          </cell>
          <cell r="M1057">
            <v>10.91286</v>
          </cell>
        </row>
        <row r="1058">
          <cell r="H1058">
            <v>210900004</v>
          </cell>
          <cell r="I1058" t="str">
            <v>Ovomaltine</v>
          </cell>
          <cell r="J1058">
            <v>1.1621866666666667</v>
          </cell>
          <cell r="K1058">
            <v>0.03</v>
          </cell>
          <cell r="L1058" t="str">
            <v>Kg</v>
          </cell>
          <cell r="M1058">
            <v>38.739555555555555</v>
          </cell>
        </row>
        <row r="1059">
          <cell r="H1059">
            <v>210200017</v>
          </cell>
          <cell r="I1059" t="str">
            <v>Copo 440 Ml Milk Shake</v>
          </cell>
          <cell r="J1059">
            <v>0.37962015000000005</v>
          </cell>
          <cell r="K1059">
            <v>1</v>
          </cell>
          <cell r="L1059" t="str">
            <v>Un</v>
          </cell>
          <cell r="M1059">
            <v>0.37962015000000005</v>
          </cell>
        </row>
        <row r="1060">
          <cell r="H1060">
            <v>210200023</v>
          </cell>
          <cell r="I1060" t="str">
            <v>Tampa 440/550 Ml Milk Shake</v>
          </cell>
          <cell r="J1060">
            <v>0.28471500000000005</v>
          </cell>
          <cell r="K1060">
            <v>1</v>
          </cell>
          <cell r="L1060" t="str">
            <v>Un</v>
          </cell>
          <cell r="M1060">
            <v>0.28471500000000005</v>
          </cell>
        </row>
        <row r="1061">
          <cell r="H1061">
            <v>220100008</v>
          </cell>
          <cell r="I1061" t="str">
            <v>Guardanapo Embalado</v>
          </cell>
          <cell r="J1061">
            <v>7.1500000000000008E-2</v>
          </cell>
          <cell r="K1061">
            <v>1</v>
          </cell>
          <cell r="L1061" t="str">
            <v>Un</v>
          </cell>
          <cell r="M1061">
            <v>7.1500000000000008E-2</v>
          </cell>
        </row>
        <row r="1062">
          <cell r="H1062">
            <v>210200021</v>
          </cell>
          <cell r="I1062" t="str">
            <v>Canudo para Milk Shake 10 mm</v>
          </cell>
          <cell r="J1062">
            <v>0.12690729999999997</v>
          </cell>
          <cell r="K1062">
            <v>1</v>
          </cell>
          <cell r="L1062" t="str">
            <v>Un</v>
          </cell>
          <cell r="M1062">
            <v>0.12690729999999997</v>
          </cell>
        </row>
        <row r="1063">
          <cell r="B1063">
            <v>100400045</v>
          </cell>
          <cell r="C1063">
            <v>1004</v>
          </cell>
          <cell r="D1063" t="str">
            <v>MsTrufado 400 ml</v>
          </cell>
          <cell r="E1063">
            <v>4.8371045271428583</v>
          </cell>
          <cell r="F1063">
            <v>17.399656572456323</v>
          </cell>
          <cell r="G1063">
            <v>20.23541256083724</v>
          </cell>
          <cell r="H1063">
            <v>210100002</v>
          </cell>
          <cell r="I1063" t="str">
            <v>Bebida Láctea Uht (Chocolate)</v>
          </cell>
          <cell r="J1063">
            <v>2.4772192200000003</v>
          </cell>
          <cell r="K1063">
            <v>0.22700000000000001</v>
          </cell>
          <cell r="L1063" t="str">
            <v>Lt</v>
          </cell>
          <cell r="M1063">
            <v>10.91286</v>
          </cell>
        </row>
        <row r="1064">
          <cell r="H1064">
            <v>210900018</v>
          </cell>
          <cell r="I1064" t="str">
            <v>Trufada Chiquinho</v>
          </cell>
          <cell r="J1064">
            <v>1.337142857142857</v>
          </cell>
          <cell r="K1064">
            <v>0.03</v>
          </cell>
          <cell r="L1064" t="str">
            <v>Kg</v>
          </cell>
          <cell r="M1064">
            <v>44.571428571428569</v>
          </cell>
        </row>
        <row r="1065">
          <cell r="H1065">
            <v>216000016</v>
          </cell>
          <cell r="I1065" t="str">
            <v>Leite Integral</v>
          </cell>
          <cell r="J1065">
            <v>0.16</v>
          </cell>
          <cell r="K1065">
            <v>0.04</v>
          </cell>
          <cell r="L1065" t="str">
            <v>Lt</v>
          </cell>
          <cell r="M1065">
            <v>4</v>
          </cell>
        </row>
        <row r="1066">
          <cell r="H1066">
            <v>210200017</v>
          </cell>
          <cell r="I1066" t="str">
            <v>Copo 440 Ml Milk Shake</v>
          </cell>
          <cell r="J1066">
            <v>0.37962015000000005</v>
          </cell>
          <cell r="K1066">
            <v>1</v>
          </cell>
          <cell r="L1066" t="str">
            <v>Un</v>
          </cell>
          <cell r="M1066">
            <v>0.37962015000000005</v>
          </cell>
        </row>
        <row r="1067">
          <cell r="H1067">
            <v>210200023</v>
          </cell>
          <cell r="I1067" t="str">
            <v>Tampa 440/550 Ml Milk Shake</v>
          </cell>
          <cell r="J1067">
            <v>0.28471500000000005</v>
          </cell>
          <cell r="K1067">
            <v>1</v>
          </cell>
          <cell r="L1067" t="str">
            <v>Un</v>
          </cell>
          <cell r="M1067">
            <v>0.28471500000000005</v>
          </cell>
        </row>
        <row r="1068">
          <cell r="H1068">
            <v>220100008</v>
          </cell>
          <cell r="I1068" t="str">
            <v>Guardanapo Embalado</v>
          </cell>
          <cell r="J1068">
            <v>7.1500000000000008E-2</v>
          </cell>
          <cell r="K1068">
            <v>1</v>
          </cell>
          <cell r="L1068" t="str">
            <v>Un</v>
          </cell>
          <cell r="M1068">
            <v>7.1500000000000008E-2</v>
          </cell>
        </row>
        <row r="1069">
          <cell r="H1069">
            <v>210200021</v>
          </cell>
          <cell r="I1069" t="str">
            <v>Canudo para Milk Shake 10 mm</v>
          </cell>
          <cell r="J1069">
            <v>0.12690729999999997</v>
          </cell>
          <cell r="K1069">
            <v>1</v>
          </cell>
          <cell r="L1069" t="str">
            <v>Un</v>
          </cell>
          <cell r="M1069">
            <v>0.12690729999999997</v>
          </cell>
        </row>
        <row r="1070">
          <cell r="B1070">
            <v>100400048</v>
          </cell>
          <cell r="C1070">
            <v>1004</v>
          </cell>
          <cell r="D1070" t="str">
            <v>MSCappuccino Chocolat 400 ml</v>
          </cell>
          <cell r="E1070">
            <v>5.719841670000001</v>
          </cell>
          <cell r="F1070">
            <v>20.574970035971226</v>
          </cell>
          <cell r="G1070">
            <v>23.280186279744544</v>
          </cell>
          <cell r="H1070">
            <v>216000016</v>
          </cell>
          <cell r="I1070" t="str">
            <v>Leite Integral</v>
          </cell>
          <cell r="J1070">
            <v>0.16</v>
          </cell>
          <cell r="K1070">
            <v>0.04</v>
          </cell>
          <cell r="L1070" t="str">
            <v>Lt</v>
          </cell>
          <cell r="M1070">
            <v>4</v>
          </cell>
        </row>
        <row r="1071">
          <cell r="H1071">
            <v>210100001</v>
          </cell>
          <cell r="I1071" t="str">
            <v>Bebida Láctea Uht (Baunilha)</v>
          </cell>
          <cell r="J1071">
            <v>2.4772192200000003</v>
          </cell>
          <cell r="K1071">
            <v>0.22700000000000001</v>
          </cell>
          <cell r="L1071" t="str">
            <v>Lt</v>
          </cell>
          <cell r="M1071">
            <v>10.91286</v>
          </cell>
        </row>
        <row r="1072">
          <cell r="H1072">
            <v>216000023</v>
          </cell>
          <cell r="I1072" t="str">
            <v>Cappuccino</v>
          </cell>
          <cell r="J1072">
            <v>1.2945075000000001</v>
          </cell>
          <cell r="K1072">
            <v>1.95E-2</v>
          </cell>
          <cell r="L1072" t="str">
            <v>Kg</v>
          </cell>
          <cell r="M1072">
            <v>66.385000000000005</v>
          </cell>
        </row>
        <row r="1073">
          <cell r="H1073">
            <v>210900005</v>
          </cell>
          <cell r="I1073" t="str">
            <v>Stracciatella Meio Amarga</v>
          </cell>
          <cell r="J1073">
            <v>0.92537249999999993</v>
          </cell>
          <cell r="K1073">
            <v>0.03</v>
          </cell>
          <cell r="L1073" t="str">
            <v>Kg</v>
          </cell>
          <cell r="M1073">
            <v>30.845749999999999</v>
          </cell>
        </row>
        <row r="1074">
          <cell r="H1074">
            <v>210200017</v>
          </cell>
          <cell r="I1074" t="str">
            <v>Copo 440 Ml Milk Shake</v>
          </cell>
          <cell r="J1074">
            <v>0.37962015000000005</v>
          </cell>
          <cell r="K1074">
            <v>1</v>
          </cell>
          <cell r="L1074" t="str">
            <v>Un</v>
          </cell>
          <cell r="M1074">
            <v>0.37962015000000005</v>
          </cell>
        </row>
        <row r="1075">
          <cell r="H1075">
            <v>210200023</v>
          </cell>
          <cell r="I1075" t="str">
            <v>Tampa 440/550 Ml Milk Shake</v>
          </cell>
          <cell r="J1075">
            <v>0.28471500000000005</v>
          </cell>
          <cell r="K1075">
            <v>1</v>
          </cell>
          <cell r="L1075" t="str">
            <v>Un</v>
          </cell>
          <cell r="M1075">
            <v>0.28471500000000005</v>
          </cell>
        </row>
        <row r="1076">
          <cell r="H1076">
            <v>220100008</v>
          </cell>
          <cell r="I1076" t="str">
            <v>Guardanapo Embalado</v>
          </cell>
          <cell r="J1076">
            <v>7.1500000000000008E-2</v>
          </cell>
          <cell r="K1076">
            <v>1</v>
          </cell>
          <cell r="L1076" t="str">
            <v>Un</v>
          </cell>
          <cell r="M1076">
            <v>7.1500000000000008E-2</v>
          </cell>
        </row>
        <row r="1077">
          <cell r="H1077">
            <v>210200021</v>
          </cell>
          <cell r="I1077" t="str">
            <v>Canudo para Milk Shake 10 mm</v>
          </cell>
          <cell r="J1077">
            <v>0.12690729999999997</v>
          </cell>
          <cell r="K1077">
            <v>1</v>
          </cell>
          <cell r="L1077" t="str">
            <v>Un</v>
          </cell>
          <cell r="M1077">
            <v>0.12690729999999997</v>
          </cell>
        </row>
        <row r="1078">
          <cell r="B1078">
            <v>100400052</v>
          </cell>
          <cell r="C1078">
            <v>1004</v>
          </cell>
          <cell r="D1078" t="str">
            <v>MsLimão com Leite moça 400 ml</v>
          </cell>
          <cell r="E1078">
            <v>4.5410224294936716</v>
          </cell>
          <cell r="F1078">
            <v>16.334613055732632</v>
          </cell>
          <cell r="G1078">
            <v>19.214153857885975</v>
          </cell>
          <cell r="H1078">
            <v>216000056</v>
          </cell>
          <cell r="I1078" t="str">
            <v>Limão-taiti</v>
          </cell>
          <cell r="J1078">
            <v>0.33</v>
          </cell>
          <cell r="K1078">
            <v>0.11</v>
          </cell>
          <cell r="L1078" t="str">
            <v>kg</v>
          </cell>
          <cell r="M1078">
            <v>3</v>
          </cell>
        </row>
        <row r="1079">
          <cell r="H1079">
            <v>210100001</v>
          </cell>
          <cell r="I1079" t="str">
            <v>Bebida Láctea Uht (Baunilha)</v>
          </cell>
          <cell r="J1079">
            <v>2.4772192200000003</v>
          </cell>
          <cell r="K1079">
            <v>0.22700000000000001</v>
          </cell>
          <cell r="L1079" t="str">
            <v>Lt</v>
          </cell>
          <cell r="M1079">
            <v>10.91286</v>
          </cell>
        </row>
        <row r="1080">
          <cell r="H1080">
            <v>216000013</v>
          </cell>
          <cell r="I1080" t="str">
            <v>Leite Condensado</v>
          </cell>
          <cell r="J1080">
            <v>0.87106075949367079</v>
          </cell>
          <cell r="K1080">
            <v>3.1E-2</v>
          </cell>
          <cell r="L1080" t="str">
            <v>Un</v>
          </cell>
          <cell r="M1080">
            <v>28.098734177215189</v>
          </cell>
        </row>
        <row r="1081">
          <cell r="H1081">
            <v>210200017</v>
          </cell>
          <cell r="I1081" t="str">
            <v>Copo 440 Ml Milk Shake</v>
          </cell>
          <cell r="J1081">
            <v>0.37962015000000005</v>
          </cell>
          <cell r="K1081">
            <v>1</v>
          </cell>
          <cell r="L1081" t="str">
            <v>Un</v>
          </cell>
          <cell r="M1081">
            <v>0.37962015000000005</v>
          </cell>
        </row>
        <row r="1082">
          <cell r="H1082">
            <v>210200023</v>
          </cell>
          <cell r="I1082" t="str">
            <v>Tampa 440/550 Ml Milk Shake</v>
          </cell>
          <cell r="J1082">
            <v>0.28471500000000005</v>
          </cell>
          <cell r="K1082">
            <v>1</v>
          </cell>
          <cell r="L1082" t="str">
            <v>Un</v>
          </cell>
          <cell r="M1082">
            <v>0.28471500000000005</v>
          </cell>
        </row>
        <row r="1083">
          <cell r="H1083">
            <v>220100008</v>
          </cell>
          <cell r="I1083" t="str">
            <v>Guardanapo Embalado</v>
          </cell>
          <cell r="J1083">
            <v>7.1500000000000008E-2</v>
          </cell>
          <cell r="K1083">
            <v>1</v>
          </cell>
          <cell r="L1083" t="str">
            <v>Un</v>
          </cell>
          <cell r="M1083">
            <v>7.1500000000000008E-2</v>
          </cell>
        </row>
        <row r="1084">
          <cell r="H1084">
            <v>210200021</v>
          </cell>
          <cell r="I1084" t="str">
            <v>Canudo para Milk Shake 10 mm</v>
          </cell>
          <cell r="J1084">
            <v>0.12690729999999997</v>
          </cell>
          <cell r="K1084">
            <v>1</v>
          </cell>
          <cell r="L1084" t="str">
            <v>Un</v>
          </cell>
          <cell r="M1084">
            <v>0.12690729999999997</v>
          </cell>
        </row>
        <row r="1085">
          <cell r="B1085">
            <v>100400054</v>
          </cell>
          <cell r="C1085">
            <v>1004</v>
          </cell>
          <cell r="D1085" t="str">
            <v>MsMousse de Maracujá 400 ml</v>
          </cell>
          <cell r="E1085">
            <v>5.2892594378571447</v>
          </cell>
          <cell r="F1085">
            <v>19.026113085817066</v>
          </cell>
          <cell r="G1085">
            <v>21.795004111003305</v>
          </cell>
          <cell r="H1085">
            <v>216000016</v>
          </cell>
          <cell r="I1085" t="str">
            <v>Leite Integral</v>
          </cell>
          <cell r="J1085">
            <v>0.16</v>
          </cell>
          <cell r="K1085">
            <v>0.04</v>
          </cell>
          <cell r="L1085" t="str">
            <v>Lt</v>
          </cell>
          <cell r="M1085">
            <v>4</v>
          </cell>
        </row>
        <row r="1086">
          <cell r="H1086">
            <v>210100001</v>
          </cell>
          <cell r="I1086" t="str">
            <v>Bebida Láctea Uht (Baunilha)</v>
          </cell>
          <cell r="J1086">
            <v>2.4772192200000003</v>
          </cell>
          <cell r="K1086">
            <v>0.22700000000000001</v>
          </cell>
          <cell r="L1086" t="str">
            <v>Lt</v>
          </cell>
          <cell r="M1086">
            <v>10.91286</v>
          </cell>
        </row>
        <row r="1087">
          <cell r="H1087">
            <v>216000015</v>
          </cell>
          <cell r="I1087" t="str">
            <v>Doce de leite</v>
          </cell>
          <cell r="J1087">
            <v>0.98144062500000007</v>
          </cell>
          <cell r="K1087">
            <v>4.4999999999999998E-2</v>
          </cell>
          <cell r="L1087" t="str">
            <v>Un</v>
          </cell>
          <cell r="M1087">
            <v>21.809791666666669</v>
          </cell>
        </row>
        <row r="1088">
          <cell r="H1088">
            <v>210200017</v>
          </cell>
          <cell r="I1088" t="str">
            <v>Copo 440 Ml Milk Shake</v>
          </cell>
          <cell r="J1088">
            <v>0.37962015000000005</v>
          </cell>
          <cell r="K1088">
            <v>1</v>
          </cell>
          <cell r="L1088" t="str">
            <v>Un</v>
          </cell>
          <cell r="M1088">
            <v>0.37962015000000005</v>
          </cell>
        </row>
        <row r="1089">
          <cell r="H1089">
            <v>210400015</v>
          </cell>
          <cell r="I1089" t="str">
            <v>Mescla de maracujá</v>
          </cell>
          <cell r="J1089">
            <v>0.80785714285714294</v>
          </cell>
          <cell r="K1089">
            <v>0.03</v>
          </cell>
          <cell r="L1089" t="str">
            <v>kg</v>
          </cell>
          <cell r="M1089">
            <v>26.928571428571431</v>
          </cell>
        </row>
        <row r="1090">
          <cell r="H1090">
            <v>210200023</v>
          </cell>
          <cell r="I1090" t="str">
            <v>Tampa 440/550 Ml Milk Shake</v>
          </cell>
          <cell r="J1090">
            <v>0.28471500000000005</v>
          </cell>
          <cell r="K1090">
            <v>1</v>
          </cell>
          <cell r="L1090" t="str">
            <v>Un</v>
          </cell>
          <cell r="M1090">
            <v>0.28471500000000005</v>
          </cell>
        </row>
        <row r="1091">
          <cell r="H1091">
            <v>220100008</v>
          </cell>
          <cell r="I1091" t="str">
            <v>Guardanapo Embalado</v>
          </cell>
          <cell r="J1091">
            <v>7.1500000000000008E-2</v>
          </cell>
          <cell r="K1091">
            <v>1</v>
          </cell>
          <cell r="L1091" t="str">
            <v>Un</v>
          </cell>
          <cell r="M1091">
            <v>7.1500000000000008E-2</v>
          </cell>
        </row>
        <row r="1092">
          <cell r="H1092">
            <v>210200021</v>
          </cell>
          <cell r="I1092" t="str">
            <v>Canudo para Milk Shake 10 mm</v>
          </cell>
          <cell r="J1092">
            <v>0.12690729999999997</v>
          </cell>
          <cell r="K1092">
            <v>1</v>
          </cell>
          <cell r="L1092" t="str">
            <v>Un</v>
          </cell>
          <cell r="M1092">
            <v>0.12690729999999997</v>
          </cell>
        </row>
        <row r="1093">
          <cell r="B1093">
            <v>100400055</v>
          </cell>
          <cell r="C1093">
            <v>1004</v>
          </cell>
          <cell r="D1093" t="str">
            <v>MsFarinha Láctea e Banana 400 ml</v>
          </cell>
          <cell r="E1093">
            <v>4.2967516700000008</v>
          </cell>
          <cell r="F1093">
            <v>15.455941258992807</v>
          </cell>
          <cell r="G1093">
            <v>18.371604980429009</v>
          </cell>
          <cell r="H1093">
            <v>216000065</v>
          </cell>
          <cell r="I1093" t="str">
            <v>Farinha Láctea</v>
          </cell>
          <cell r="J1093">
            <v>0.67749000000000004</v>
          </cell>
          <cell r="K1093">
            <v>1.7999999999999999E-2</v>
          </cell>
          <cell r="L1093" t="str">
            <v>Lt</v>
          </cell>
          <cell r="M1093">
            <v>37.638333333333335</v>
          </cell>
        </row>
        <row r="1094">
          <cell r="H1094">
            <v>210100001</v>
          </cell>
          <cell r="I1094" t="str">
            <v>Bebida Láctea Uht (Baunilha)</v>
          </cell>
          <cell r="J1094">
            <v>2.4772192200000003</v>
          </cell>
          <cell r="K1094">
            <v>0.22700000000000001</v>
          </cell>
          <cell r="L1094" t="str">
            <v>Lt</v>
          </cell>
          <cell r="M1094">
            <v>10.91286</v>
          </cell>
        </row>
        <row r="1095">
          <cell r="H1095">
            <v>216000018</v>
          </cell>
          <cell r="I1095" t="str">
            <v>Banana Nanica</v>
          </cell>
          <cell r="J1095">
            <v>0.27930000000000005</v>
          </cell>
          <cell r="K1095">
            <v>7.0000000000000007E-2</v>
          </cell>
          <cell r="L1095" t="str">
            <v>Un</v>
          </cell>
          <cell r="M1095">
            <v>3.99</v>
          </cell>
        </row>
        <row r="1096">
          <cell r="H1096">
            <v>210200017</v>
          </cell>
          <cell r="I1096" t="str">
            <v>Copo 440 Ml Milk Shake</v>
          </cell>
          <cell r="J1096">
            <v>0.37962015000000005</v>
          </cell>
          <cell r="K1096">
            <v>1</v>
          </cell>
          <cell r="L1096" t="str">
            <v>Un</v>
          </cell>
          <cell r="M1096">
            <v>0.37962015000000005</v>
          </cell>
        </row>
        <row r="1097">
          <cell r="H1097">
            <v>210200023</v>
          </cell>
          <cell r="I1097" t="str">
            <v>Tampa 440/550 Ml Milk Shake</v>
          </cell>
          <cell r="J1097">
            <v>0.28471500000000005</v>
          </cell>
          <cell r="K1097">
            <v>1</v>
          </cell>
          <cell r="L1097" t="str">
            <v>Un</v>
          </cell>
          <cell r="M1097">
            <v>0.28471500000000005</v>
          </cell>
        </row>
        <row r="1098">
          <cell r="H1098">
            <v>220100008</v>
          </cell>
          <cell r="I1098" t="str">
            <v>Guardanapo Embalado</v>
          </cell>
          <cell r="J1098">
            <v>7.1500000000000008E-2</v>
          </cell>
          <cell r="K1098">
            <v>1</v>
          </cell>
          <cell r="L1098" t="str">
            <v>Un</v>
          </cell>
          <cell r="M1098">
            <v>7.1500000000000008E-2</v>
          </cell>
        </row>
        <row r="1099">
          <cell r="H1099">
            <v>210200021</v>
          </cell>
          <cell r="I1099" t="str">
            <v>Canudo para Milk Shake 10 mm</v>
          </cell>
          <cell r="J1099">
            <v>0.12690729999999997</v>
          </cell>
          <cell r="K1099">
            <v>1</v>
          </cell>
          <cell r="L1099" t="str">
            <v>Un</v>
          </cell>
          <cell r="M1099">
            <v>0.12690729999999997</v>
          </cell>
        </row>
        <row r="1100">
          <cell r="B1100">
            <v>100400056</v>
          </cell>
          <cell r="C1100">
            <v>1003</v>
          </cell>
          <cell r="D1100" t="str">
            <v>MsPink Limonade 400 ml</v>
          </cell>
          <cell r="E1100">
            <v>6.0029759557142857</v>
          </cell>
          <cell r="F1100">
            <v>21.593438689619731</v>
          </cell>
          <cell r="G1100">
            <v>24.256784850497059</v>
          </cell>
          <cell r="H1100">
            <v>210100001</v>
          </cell>
          <cell r="I1100" t="str">
            <v>Bebida Láctea Uht (Baunilha)</v>
          </cell>
          <cell r="J1100">
            <v>2.4772192200000003</v>
          </cell>
          <cell r="K1100">
            <v>0.22700000000000001</v>
          </cell>
          <cell r="L1100" t="str">
            <v>Kg</v>
          </cell>
          <cell r="M1100">
            <v>10.91286</v>
          </cell>
        </row>
        <row r="1101">
          <cell r="H1101">
            <v>216000056</v>
          </cell>
          <cell r="I1101" t="str">
            <v>Limão-taiti</v>
          </cell>
          <cell r="J1101">
            <v>0.24780000000000002</v>
          </cell>
          <cell r="K1101">
            <v>8.2600000000000007E-2</v>
          </cell>
          <cell r="L1101" t="str">
            <v>Lt</v>
          </cell>
          <cell r="M1101">
            <v>3</v>
          </cell>
        </row>
        <row r="1102">
          <cell r="H1102">
            <v>210400016</v>
          </cell>
          <cell r="I1102" t="str">
            <v>Mescla de Morango</v>
          </cell>
          <cell r="J1102">
            <v>2.4152142857142853</v>
          </cell>
          <cell r="K1102">
            <v>7.4999999999999997E-2</v>
          </cell>
          <cell r="L1102" t="str">
            <v>kg</v>
          </cell>
          <cell r="M1102">
            <v>32.202857142857141</v>
          </cell>
        </row>
        <row r="1103">
          <cell r="H1103">
            <v>220100008</v>
          </cell>
          <cell r="I1103" t="str">
            <v>Guardanapo Embalado</v>
          </cell>
          <cell r="J1103">
            <v>7.1500000000000008E-2</v>
          </cell>
          <cell r="K1103">
            <v>1</v>
          </cell>
          <cell r="L1103" t="str">
            <v>Un</v>
          </cell>
          <cell r="M1103">
            <v>7.1500000000000008E-2</v>
          </cell>
        </row>
        <row r="1104">
          <cell r="H1104">
            <v>210200023</v>
          </cell>
          <cell r="I1104" t="str">
            <v>Tampa 440/550 Ml Milk Shake</v>
          </cell>
          <cell r="J1104">
            <v>0.28471500000000005</v>
          </cell>
          <cell r="K1104">
            <v>1</v>
          </cell>
          <cell r="L1104" t="str">
            <v>Un</v>
          </cell>
          <cell r="M1104">
            <v>0.28471500000000005</v>
          </cell>
        </row>
        <row r="1105">
          <cell r="H1105">
            <v>210200021</v>
          </cell>
          <cell r="I1105" t="str">
            <v>Canudo para Milk Shake 10 mm</v>
          </cell>
          <cell r="J1105">
            <v>0.12690729999999997</v>
          </cell>
          <cell r="K1105">
            <v>1</v>
          </cell>
          <cell r="L1105" t="str">
            <v>Un</v>
          </cell>
          <cell r="M1105">
            <v>0.12690729999999997</v>
          </cell>
        </row>
        <row r="1106">
          <cell r="H1106">
            <v>210200017</v>
          </cell>
          <cell r="I1106" t="str">
            <v>Copo 440 Ml Milk Shake</v>
          </cell>
          <cell r="J1106">
            <v>0.37962015000000005</v>
          </cell>
          <cell r="K1106">
            <v>1</v>
          </cell>
          <cell r="L1106" t="str">
            <v>Un</v>
          </cell>
          <cell r="M1106">
            <v>0.37962015000000005</v>
          </cell>
        </row>
        <row r="1107">
          <cell r="B1107">
            <v>100400057</v>
          </cell>
          <cell r="C1107">
            <v>1003</v>
          </cell>
          <cell r="D1107" t="str">
            <v>MsNapolitano 400 ml</v>
          </cell>
          <cell r="E1107">
            <v>6.8028627414285721</v>
          </cell>
          <cell r="F1107">
            <v>24.470729285714285</v>
          </cell>
          <cell r="G1107">
            <v>27.015787666852145</v>
          </cell>
          <cell r="H1107">
            <v>210100007</v>
          </cell>
          <cell r="I1107" t="str">
            <v>Bebida Láctea UHT Sabores</v>
          </cell>
          <cell r="J1107">
            <v>2.4772192200000003</v>
          </cell>
          <cell r="K1107">
            <v>0.22700000000000001</v>
          </cell>
          <cell r="L1107" t="str">
            <v>Kg</v>
          </cell>
          <cell r="M1107">
            <v>10.91286</v>
          </cell>
        </row>
        <row r="1108">
          <cell r="H1108">
            <v>216000016</v>
          </cell>
          <cell r="I1108" t="str">
            <v>Leite Integral</v>
          </cell>
          <cell r="J1108">
            <v>0.16</v>
          </cell>
          <cell r="K1108">
            <v>0.04</v>
          </cell>
          <cell r="L1108" t="str">
            <v>Lt</v>
          </cell>
          <cell r="M1108">
            <v>4</v>
          </cell>
        </row>
        <row r="1109">
          <cell r="H1109">
            <v>210400016</v>
          </cell>
          <cell r="I1109" t="str">
            <v>Mescla de Morango</v>
          </cell>
          <cell r="J1109">
            <v>1.4491285714285713</v>
          </cell>
          <cell r="K1109">
            <v>4.4999999999999998E-2</v>
          </cell>
          <cell r="L1109" t="str">
            <v>kg</v>
          </cell>
          <cell r="M1109">
            <v>32.202857142857141</v>
          </cell>
        </row>
        <row r="1110">
          <cell r="H1110">
            <v>210900005</v>
          </cell>
          <cell r="I1110" t="str">
            <v>Stracciatella Meio Amarga</v>
          </cell>
          <cell r="J1110">
            <v>0.92537249999999993</v>
          </cell>
          <cell r="K1110">
            <v>0.03</v>
          </cell>
          <cell r="L1110" t="str">
            <v>kg</v>
          </cell>
          <cell r="M1110">
            <v>30.845749999999999</v>
          </cell>
        </row>
        <row r="1111">
          <cell r="H1111">
            <v>216000017</v>
          </cell>
          <cell r="I1111" t="str">
            <v>Leite em Pó Ninho</v>
          </cell>
          <cell r="J1111">
            <v>0.9284</v>
          </cell>
          <cell r="K1111">
            <v>1.4999999999999999E-2</v>
          </cell>
          <cell r="L1111" t="str">
            <v>kg</v>
          </cell>
          <cell r="M1111">
            <v>61.893333333333338</v>
          </cell>
        </row>
        <row r="1112">
          <cell r="H1112">
            <v>220100008</v>
          </cell>
          <cell r="I1112" t="str">
            <v>Guardanapo Embalado</v>
          </cell>
          <cell r="J1112">
            <v>7.1500000000000008E-2</v>
          </cell>
          <cell r="K1112">
            <v>1</v>
          </cell>
          <cell r="L1112" t="str">
            <v>Un</v>
          </cell>
          <cell r="M1112">
            <v>7.1500000000000008E-2</v>
          </cell>
        </row>
        <row r="1113">
          <cell r="H1113">
            <v>210200023</v>
          </cell>
          <cell r="I1113" t="str">
            <v>Tampa 440/550 Ml Milk Shake</v>
          </cell>
          <cell r="J1113">
            <v>0.28471500000000005</v>
          </cell>
          <cell r="K1113">
            <v>1</v>
          </cell>
          <cell r="L1113" t="str">
            <v>Un</v>
          </cell>
          <cell r="M1113">
            <v>0.28471500000000005</v>
          </cell>
        </row>
        <row r="1114">
          <cell r="H1114">
            <v>210200021</v>
          </cell>
          <cell r="I1114" t="str">
            <v>Canudo para Milk Shake 10 mm</v>
          </cell>
          <cell r="J1114">
            <v>0.12690729999999997</v>
          </cell>
          <cell r="K1114">
            <v>1</v>
          </cell>
          <cell r="L1114" t="str">
            <v>Un</v>
          </cell>
          <cell r="M1114">
            <v>0.12690729999999997</v>
          </cell>
        </row>
        <row r="1115">
          <cell r="H1115">
            <v>210200017</v>
          </cell>
          <cell r="I1115" t="str">
            <v>Copo 440 Ml Milk Shake</v>
          </cell>
          <cell r="J1115">
            <v>0.37962015000000005</v>
          </cell>
          <cell r="K1115">
            <v>1</v>
          </cell>
          <cell r="L1115" t="str">
            <v>Un</v>
          </cell>
          <cell r="M1115">
            <v>0.37962015000000005</v>
          </cell>
        </row>
        <row r="1116">
          <cell r="B1116">
            <v>100400058</v>
          </cell>
          <cell r="C1116">
            <v>1003</v>
          </cell>
          <cell r="D1116" t="str">
            <v>Ms3 Leites 400 ml</v>
          </cell>
          <cell r="E1116">
            <v>6.4198971130379761</v>
          </cell>
          <cell r="F1116">
            <v>23.093155082870414</v>
          </cell>
          <cell r="G1116">
            <v>25.694846670991936</v>
          </cell>
          <cell r="H1116">
            <v>210100001</v>
          </cell>
          <cell r="I1116" t="str">
            <v>Bebida Láctea Uht (Baunilha)</v>
          </cell>
          <cell r="J1116">
            <v>2.4772192200000003</v>
          </cell>
          <cell r="K1116">
            <v>0.22700000000000001</v>
          </cell>
          <cell r="L1116" t="str">
            <v>Kg</v>
          </cell>
          <cell r="M1116">
            <v>10.91286</v>
          </cell>
        </row>
        <row r="1117">
          <cell r="H1117">
            <v>216000016</v>
          </cell>
          <cell r="I1117" t="str">
            <v>Leite Integral</v>
          </cell>
          <cell r="J1117">
            <v>0.16</v>
          </cell>
          <cell r="K1117">
            <v>0.04</v>
          </cell>
          <cell r="L1117" t="str">
            <v>Lt</v>
          </cell>
          <cell r="M1117">
            <v>4</v>
          </cell>
        </row>
        <row r="1118">
          <cell r="H1118">
            <v>216000013</v>
          </cell>
          <cell r="I1118" t="str">
            <v>Leite Condensado</v>
          </cell>
          <cell r="J1118">
            <v>0.87808544303797464</v>
          </cell>
          <cell r="K1118">
            <v>3.125E-2</v>
          </cell>
          <cell r="L1118" t="str">
            <v>kg</v>
          </cell>
          <cell r="M1118">
            <v>28.098734177215189</v>
          </cell>
        </row>
        <row r="1119">
          <cell r="H1119">
            <v>210900006</v>
          </cell>
          <cell r="I1119" t="str">
            <v>Stracciatella Branca</v>
          </cell>
          <cell r="J1119">
            <v>1.1134500000000003</v>
          </cell>
          <cell r="K1119">
            <v>0.03</v>
          </cell>
          <cell r="L1119" t="str">
            <v>kg</v>
          </cell>
          <cell r="M1119">
            <v>37.115000000000009</v>
          </cell>
        </row>
        <row r="1120">
          <cell r="H1120">
            <v>216000017</v>
          </cell>
          <cell r="I1120" t="str">
            <v>Leite em Pó Ninho</v>
          </cell>
          <cell r="J1120">
            <v>0.9284</v>
          </cell>
          <cell r="K1120">
            <v>1.4999999999999999E-2</v>
          </cell>
          <cell r="L1120" t="str">
            <v>kg</v>
          </cell>
          <cell r="M1120">
            <v>61.893333333333338</v>
          </cell>
        </row>
        <row r="1121">
          <cell r="H1121">
            <v>220100008</v>
          </cell>
          <cell r="I1121" t="str">
            <v>Guardanapo Embalado</v>
          </cell>
          <cell r="J1121">
            <v>7.1500000000000008E-2</v>
          </cell>
          <cell r="K1121">
            <v>1</v>
          </cell>
          <cell r="L1121" t="str">
            <v>Un</v>
          </cell>
          <cell r="M1121">
            <v>7.1500000000000008E-2</v>
          </cell>
        </row>
        <row r="1122">
          <cell r="H1122">
            <v>210200023</v>
          </cell>
          <cell r="I1122" t="str">
            <v>Tampa 440/550 Ml Milk Shake</v>
          </cell>
          <cell r="J1122">
            <v>0.28471500000000005</v>
          </cell>
          <cell r="K1122">
            <v>1</v>
          </cell>
          <cell r="L1122" t="str">
            <v>Un</v>
          </cell>
          <cell r="M1122">
            <v>0.28471500000000005</v>
          </cell>
        </row>
        <row r="1123">
          <cell r="H1123">
            <v>210200021</v>
          </cell>
          <cell r="I1123" t="str">
            <v>Canudo para Milk Shake 10 mm</v>
          </cell>
          <cell r="J1123">
            <v>0.12690729999999997</v>
          </cell>
          <cell r="K1123">
            <v>1</v>
          </cell>
          <cell r="L1123" t="str">
            <v>Un</v>
          </cell>
          <cell r="M1123">
            <v>0.12690729999999997</v>
          </cell>
        </row>
        <row r="1124">
          <cell r="H1124">
            <v>210200017</v>
          </cell>
          <cell r="I1124" t="str">
            <v>Copo 440 Ml Milk Shake</v>
          </cell>
          <cell r="J1124">
            <v>0.37962015000000005</v>
          </cell>
          <cell r="K1124">
            <v>1</v>
          </cell>
          <cell r="L1124" t="str">
            <v>Un</v>
          </cell>
          <cell r="M1124">
            <v>0.37962015000000005</v>
          </cell>
        </row>
        <row r="1125">
          <cell r="B1125">
            <v>100400059</v>
          </cell>
          <cell r="C1125">
            <v>1031</v>
          </cell>
          <cell r="D1125" t="str">
            <v>Milk-Shake Chocotino  turbo 400 ml</v>
          </cell>
          <cell r="E1125">
            <v>6.9431841144444455</v>
          </cell>
          <cell r="F1125">
            <v>24.975482426059155</v>
          </cell>
          <cell r="G1125">
            <v>27.499789991005915</v>
          </cell>
          <cell r="H1125">
            <v>216000016</v>
          </cell>
          <cell r="I1125" t="str">
            <v>Leite Integral</v>
          </cell>
          <cell r="J1125">
            <v>0.16</v>
          </cell>
          <cell r="K1125">
            <v>0.04</v>
          </cell>
          <cell r="L1125" t="str">
            <v>Kg</v>
          </cell>
          <cell r="M1125">
            <v>4</v>
          </cell>
        </row>
        <row r="1126">
          <cell r="H1126">
            <v>210100007</v>
          </cell>
          <cell r="I1126" t="str">
            <v>Bebida Láctea Uht Sabores</v>
          </cell>
          <cell r="J1126">
            <v>2.4772192200000003</v>
          </cell>
          <cell r="K1126">
            <v>0.22700000000000001</v>
          </cell>
          <cell r="L1126" t="str">
            <v>Lt</v>
          </cell>
          <cell r="M1126">
            <v>10.91286</v>
          </cell>
        </row>
        <row r="1127">
          <cell r="H1127">
            <v>210200021</v>
          </cell>
          <cell r="I1127" t="str">
            <v>Canudo para Milk Shake 10 mm</v>
          </cell>
          <cell r="J1127">
            <v>0.12690729999999997</v>
          </cell>
          <cell r="K1127">
            <v>1</v>
          </cell>
          <cell r="L1127" t="str">
            <v>Un</v>
          </cell>
          <cell r="M1127">
            <v>0.12690729999999997</v>
          </cell>
        </row>
        <row r="1128">
          <cell r="H1128">
            <v>210900004</v>
          </cell>
          <cell r="I1128" t="str">
            <v>Ovomaltine</v>
          </cell>
          <cell r="J1128">
            <v>1.2396657777777778</v>
          </cell>
          <cell r="K1128">
            <v>3.2000000000000001E-2</v>
          </cell>
          <cell r="L1128" t="str">
            <v>Kg</v>
          </cell>
          <cell r="M1128">
            <v>38.739555555555555</v>
          </cell>
        </row>
        <row r="1129">
          <cell r="H1129">
            <v>216000039</v>
          </cell>
          <cell r="I1129" t="str">
            <v>Creme Crocante</v>
          </cell>
          <cell r="J1129">
            <v>2.2035566666666666</v>
          </cell>
          <cell r="K1129">
            <v>3.7999999999999999E-2</v>
          </cell>
          <cell r="L1129" t="str">
            <v>kg</v>
          </cell>
          <cell r="M1129">
            <v>57.98833333333333</v>
          </cell>
        </row>
        <row r="1130">
          <cell r="H1130">
            <v>220100008</v>
          </cell>
          <cell r="I1130" t="str">
            <v>Guardanapo Embalado</v>
          </cell>
          <cell r="J1130">
            <v>7.1500000000000008E-2</v>
          </cell>
          <cell r="K1130">
            <v>1</v>
          </cell>
          <cell r="L1130" t="str">
            <v>Un</v>
          </cell>
          <cell r="M1130">
            <v>7.1500000000000008E-2</v>
          </cell>
        </row>
        <row r="1131">
          <cell r="H1131">
            <v>210200023</v>
          </cell>
          <cell r="I1131" t="str">
            <v>Tampa 440/550 Ml Milk Shake</v>
          </cell>
          <cell r="J1131">
            <v>0.28471500000000005</v>
          </cell>
          <cell r="K1131">
            <v>1</v>
          </cell>
          <cell r="L1131" t="str">
            <v>Un</v>
          </cell>
          <cell r="M1131">
            <v>0.28471500000000005</v>
          </cell>
        </row>
        <row r="1132">
          <cell r="H1132">
            <v>210200017</v>
          </cell>
          <cell r="I1132" t="str">
            <v>Copo 440 ml Milk Shake</v>
          </cell>
          <cell r="J1132">
            <v>0.37962015000000005</v>
          </cell>
          <cell r="K1132">
            <v>1</v>
          </cell>
          <cell r="L1132" t="str">
            <v>Un</v>
          </cell>
          <cell r="M1132">
            <v>0.37962015000000005</v>
          </cell>
        </row>
        <row r="1133">
          <cell r="B1133">
            <v>100400060</v>
          </cell>
          <cell r="C1133">
            <v>1032</v>
          </cell>
          <cell r="D1133" t="str">
            <v>MsAmarena e Calda Quente 400 ml</v>
          </cell>
          <cell r="E1133">
            <v>9.0565841700000007</v>
          </cell>
          <cell r="F1133">
            <v>32.577640899280574</v>
          </cell>
          <cell r="G1133">
            <v>34.789417485171718</v>
          </cell>
          <cell r="H1133">
            <v>216000016</v>
          </cell>
          <cell r="I1133" t="str">
            <v>Leite Integral</v>
          </cell>
          <cell r="J1133">
            <v>0.16</v>
          </cell>
          <cell r="K1133">
            <v>0.04</v>
          </cell>
          <cell r="L1133" t="str">
            <v>Kg</v>
          </cell>
          <cell r="M1133">
            <v>4</v>
          </cell>
        </row>
        <row r="1134">
          <cell r="H1134">
            <v>210100007</v>
          </cell>
          <cell r="I1134" t="str">
            <v>Bebida Láctea Uht Sabores</v>
          </cell>
          <cell r="J1134">
            <v>2.4772192200000003</v>
          </cell>
          <cell r="K1134">
            <v>0.22700000000000001</v>
          </cell>
          <cell r="L1134" t="str">
            <v>Lt</v>
          </cell>
          <cell r="M1134">
            <v>10.91286</v>
          </cell>
        </row>
        <row r="1135">
          <cell r="H1135">
            <v>210200021</v>
          </cell>
          <cell r="I1135" t="str">
            <v>Canudo para Milk Shake 10 mm</v>
          </cell>
          <cell r="J1135">
            <v>0.12690729999999997</v>
          </cell>
          <cell r="K1135">
            <v>1</v>
          </cell>
          <cell r="L1135" t="str">
            <v>Un</v>
          </cell>
          <cell r="M1135">
            <v>0.12690729999999997</v>
          </cell>
        </row>
        <row r="1136">
          <cell r="H1136">
            <v>216000078</v>
          </cell>
          <cell r="I1136" t="str">
            <v>Variegato Amarena Rubino</v>
          </cell>
          <cell r="J1136">
            <v>4.6312499999999996</v>
          </cell>
          <cell r="K1136">
            <v>3.7499999999999999E-2</v>
          </cell>
          <cell r="L1136" t="str">
            <v>Kg</v>
          </cell>
          <cell r="M1136">
            <v>123.5</v>
          </cell>
        </row>
        <row r="1137">
          <cell r="H1137">
            <v>210900005</v>
          </cell>
          <cell r="I1137" t="str">
            <v>Stracciatella Meio Amarga</v>
          </cell>
          <cell r="J1137">
            <v>0.92537249999999993</v>
          </cell>
          <cell r="K1137">
            <v>0.03</v>
          </cell>
          <cell r="L1137" t="str">
            <v>kg</v>
          </cell>
          <cell r="M1137">
            <v>30.845749999999999</v>
          </cell>
        </row>
        <row r="1138">
          <cell r="H1138">
            <v>220100008</v>
          </cell>
          <cell r="I1138" t="str">
            <v>Guardanapo Embalado</v>
          </cell>
          <cell r="J1138">
            <v>7.1500000000000008E-2</v>
          </cell>
          <cell r="K1138">
            <v>1</v>
          </cell>
          <cell r="L1138" t="str">
            <v>Un</v>
          </cell>
          <cell r="M1138">
            <v>7.1500000000000008E-2</v>
          </cell>
        </row>
        <row r="1139">
          <cell r="H1139">
            <v>210200023</v>
          </cell>
          <cell r="I1139" t="str">
            <v>Tampa 440/550 Ml Milk Shake</v>
          </cell>
          <cell r="J1139">
            <v>0.28471500000000005</v>
          </cell>
          <cell r="K1139">
            <v>1</v>
          </cell>
          <cell r="L1139" t="str">
            <v>Un</v>
          </cell>
          <cell r="M1139">
            <v>0.28471500000000005</v>
          </cell>
        </row>
        <row r="1140">
          <cell r="H1140">
            <v>210200017</v>
          </cell>
          <cell r="I1140" t="str">
            <v>Copo 440 ml Milk Shake</v>
          </cell>
          <cell r="J1140">
            <v>0.37962015000000005</v>
          </cell>
          <cell r="K1140">
            <v>1</v>
          </cell>
          <cell r="L1140" t="str">
            <v>Un</v>
          </cell>
          <cell r="M1140">
            <v>0.37962015000000005</v>
          </cell>
        </row>
        <row r="1141">
          <cell r="B1141">
            <v>100400061</v>
          </cell>
          <cell r="C1141">
            <v>1032</v>
          </cell>
          <cell r="D1141" t="str">
            <v>MsPistache 400 ml</v>
          </cell>
          <cell r="E1141">
            <v>10.01218167</v>
          </cell>
          <cell r="F1141">
            <v>36.015041978417266</v>
          </cell>
          <cell r="G1141">
            <v>38.08550418255043</v>
          </cell>
          <cell r="H1141">
            <v>216000016</v>
          </cell>
          <cell r="I1141" t="str">
            <v>Leite Integral</v>
          </cell>
          <cell r="J1141">
            <v>0.16</v>
          </cell>
          <cell r="K1141">
            <v>0.04</v>
          </cell>
          <cell r="L1141" t="str">
            <v>Kg</v>
          </cell>
          <cell r="M1141">
            <v>4</v>
          </cell>
        </row>
        <row r="1142">
          <cell r="H1142">
            <v>210100007</v>
          </cell>
          <cell r="I1142" t="str">
            <v>Bebida Láctea Uht Sabores</v>
          </cell>
          <cell r="J1142">
            <v>2.4772192200000003</v>
          </cell>
          <cell r="K1142">
            <v>0.22700000000000001</v>
          </cell>
          <cell r="L1142" t="str">
            <v>Lt</v>
          </cell>
          <cell r="M1142">
            <v>10.91286</v>
          </cell>
        </row>
        <row r="1143">
          <cell r="H1143">
            <v>210200021</v>
          </cell>
          <cell r="I1143" t="str">
            <v>Canudo para Milk Shake 10 mm</v>
          </cell>
          <cell r="J1143">
            <v>0.12690729999999997</v>
          </cell>
          <cell r="K1143">
            <v>1</v>
          </cell>
          <cell r="L1143" t="str">
            <v>Un</v>
          </cell>
          <cell r="M1143">
            <v>0.12690729999999997</v>
          </cell>
        </row>
        <row r="1144">
          <cell r="H1144">
            <v>216000068</v>
          </cell>
          <cell r="I1144" t="str">
            <v>Crempistache</v>
          </cell>
          <cell r="J1144">
            <v>6.5122200000000001</v>
          </cell>
          <cell r="K1144">
            <v>4.4999999999999998E-2</v>
          </cell>
          <cell r="L1144" t="str">
            <v>Kg</v>
          </cell>
          <cell r="M1144">
            <v>144.71600000000001</v>
          </cell>
        </row>
        <row r="1145">
          <cell r="H1145">
            <v>220100008</v>
          </cell>
          <cell r="I1145" t="str">
            <v>Guardanapo Embalado</v>
          </cell>
          <cell r="J1145">
            <v>7.1500000000000008E-2</v>
          </cell>
          <cell r="K1145">
            <v>1</v>
          </cell>
          <cell r="L1145" t="str">
            <v>Un</v>
          </cell>
          <cell r="M1145">
            <v>7.1500000000000008E-2</v>
          </cell>
        </row>
        <row r="1146">
          <cell r="H1146">
            <v>210200023</v>
          </cell>
          <cell r="I1146" t="str">
            <v>Tampa 440/550 Ml Milk Shake</v>
          </cell>
          <cell r="J1146">
            <v>0.28471500000000005</v>
          </cell>
          <cell r="K1146">
            <v>1</v>
          </cell>
          <cell r="L1146" t="str">
            <v>Un</v>
          </cell>
          <cell r="M1146">
            <v>0.28471500000000005</v>
          </cell>
        </row>
        <row r="1147">
          <cell r="H1147">
            <v>210200017</v>
          </cell>
          <cell r="I1147" t="str">
            <v>Copo 440 ml Milk Shake</v>
          </cell>
          <cell r="J1147">
            <v>0.37962015000000005</v>
          </cell>
          <cell r="K1147">
            <v>1</v>
          </cell>
          <cell r="L1147" t="str">
            <v>Un</v>
          </cell>
          <cell r="M1147">
            <v>0.37962015000000005</v>
          </cell>
        </row>
        <row r="1148">
          <cell r="B1148">
            <v>100400062</v>
          </cell>
          <cell r="C1148">
            <v>1032</v>
          </cell>
          <cell r="D1148" t="str">
            <v>MsPuro Leite 400 ml</v>
          </cell>
          <cell r="E1148">
            <v>4.7869616700000011</v>
          </cell>
          <cell r="F1148">
            <v>17.219286582733815</v>
          </cell>
          <cell r="G1148">
            <v>20.062457729543588</v>
          </cell>
          <cell r="H1148">
            <v>216000016</v>
          </cell>
          <cell r="I1148" t="str">
            <v>Leite Integral</v>
          </cell>
          <cell r="J1148">
            <v>0.16</v>
          </cell>
          <cell r="K1148">
            <v>0.04</v>
          </cell>
          <cell r="L1148" t="str">
            <v>Kg</v>
          </cell>
          <cell r="M1148">
            <v>4</v>
          </cell>
        </row>
        <row r="1149">
          <cell r="H1149">
            <v>210100007</v>
          </cell>
          <cell r="I1149" t="str">
            <v>Bebida Láctea Uht Sabores</v>
          </cell>
          <cell r="J1149">
            <v>2.4772192200000003</v>
          </cell>
          <cell r="K1149">
            <v>0.22700000000000001</v>
          </cell>
          <cell r="L1149" t="str">
            <v>Lt</v>
          </cell>
          <cell r="M1149">
            <v>10.91286</v>
          </cell>
        </row>
        <row r="1150">
          <cell r="H1150">
            <v>210200021</v>
          </cell>
          <cell r="I1150" t="str">
            <v>Canudo para Milk Shake 10 mm</v>
          </cell>
          <cell r="J1150">
            <v>0.12690729999999997</v>
          </cell>
          <cell r="K1150">
            <v>1</v>
          </cell>
          <cell r="L1150" t="str">
            <v>Un</v>
          </cell>
          <cell r="M1150">
            <v>0.12690729999999997</v>
          </cell>
        </row>
        <row r="1151">
          <cell r="H1151">
            <v>216000077</v>
          </cell>
          <cell r="I1151" t="str">
            <v>Caribe Leitinho</v>
          </cell>
          <cell r="J1151">
            <v>1.2869999999999999</v>
          </cell>
          <cell r="K1151">
            <v>4.4999999999999998E-2</v>
          </cell>
          <cell r="L1151" t="str">
            <v>Kg</v>
          </cell>
          <cell r="M1151">
            <v>28.599999999999998</v>
          </cell>
        </row>
        <row r="1152">
          <cell r="H1152">
            <v>220100008</v>
          </cell>
          <cell r="I1152" t="str">
            <v>Guardanapo Embalado</v>
          </cell>
          <cell r="J1152">
            <v>7.1500000000000008E-2</v>
          </cell>
          <cell r="K1152">
            <v>1</v>
          </cell>
          <cell r="L1152" t="str">
            <v>Un</v>
          </cell>
          <cell r="M1152">
            <v>7.1500000000000008E-2</v>
          </cell>
        </row>
        <row r="1153">
          <cell r="H1153">
            <v>210200023</v>
          </cell>
          <cell r="I1153" t="str">
            <v>Tampa 440/550 Ml Milk Shake</v>
          </cell>
          <cell r="J1153">
            <v>0.28471500000000005</v>
          </cell>
          <cell r="K1153">
            <v>1</v>
          </cell>
          <cell r="L1153" t="str">
            <v>Un</v>
          </cell>
          <cell r="M1153">
            <v>0.28471500000000005</v>
          </cell>
        </row>
        <row r="1154">
          <cell r="H1154">
            <v>210200017</v>
          </cell>
          <cell r="I1154" t="str">
            <v>Copo 440 ml Milk Shake</v>
          </cell>
          <cell r="J1154">
            <v>0.37962015000000005</v>
          </cell>
          <cell r="K1154">
            <v>1</v>
          </cell>
          <cell r="L1154" t="str">
            <v>Un</v>
          </cell>
          <cell r="M1154">
            <v>0.37962015000000005</v>
          </cell>
        </row>
        <row r="1155">
          <cell r="B1155">
            <v>100400063</v>
          </cell>
          <cell r="C1155">
            <v>1032</v>
          </cell>
          <cell r="D1155" t="str">
            <v>MsBeijinho com Coco da Malásia 400 ml</v>
          </cell>
          <cell r="E1155">
            <v>8.6850116700000015</v>
          </cell>
          <cell r="F1155">
            <v>31.241049172661874</v>
          </cell>
          <cell r="G1155">
            <v>33.507774142277093</v>
          </cell>
          <cell r="H1155">
            <v>216000016</v>
          </cell>
          <cell r="I1155" t="str">
            <v>Leite Integral</v>
          </cell>
          <cell r="J1155">
            <v>0.16</v>
          </cell>
          <cell r="K1155">
            <v>0.04</v>
          </cell>
          <cell r="L1155" t="str">
            <v>Kg</v>
          </cell>
          <cell r="M1155">
            <v>4</v>
          </cell>
        </row>
        <row r="1156">
          <cell r="H1156">
            <v>210100007</v>
          </cell>
          <cell r="I1156" t="str">
            <v>Bebida Láctea Uht Sabores</v>
          </cell>
          <cell r="J1156">
            <v>2.4772192200000003</v>
          </cell>
          <cell r="K1156">
            <v>0.22700000000000001</v>
          </cell>
          <cell r="L1156" t="str">
            <v>Lt</v>
          </cell>
          <cell r="M1156">
            <v>10.91286</v>
          </cell>
        </row>
        <row r="1157">
          <cell r="H1157">
            <v>210200021</v>
          </cell>
          <cell r="I1157" t="str">
            <v>Canudo para Milk Shake 10 mm</v>
          </cell>
          <cell r="J1157">
            <v>0.12690729999999997</v>
          </cell>
          <cell r="K1157">
            <v>1</v>
          </cell>
          <cell r="L1157" t="str">
            <v>Un</v>
          </cell>
          <cell r="M1157">
            <v>0.12690729999999997</v>
          </cell>
        </row>
        <row r="1158">
          <cell r="H1158">
            <v>216000077</v>
          </cell>
          <cell r="I1158" t="str">
            <v>Caribe Leitinho</v>
          </cell>
          <cell r="J1158">
            <v>1.2869999999999999</v>
          </cell>
          <cell r="K1158">
            <v>4.4999999999999998E-2</v>
          </cell>
          <cell r="L1158" t="str">
            <v>Kg</v>
          </cell>
          <cell r="M1158">
            <v>28.599999999999998</v>
          </cell>
        </row>
        <row r="1159">
          <cell r="H1159">
            <v>216000079</v>
          </cell>
          <cell r="I1159" t="str">
            <v>Creme Coco Malasia</v>
          </cell>
          <cell r="J1159">
            <v>3.89805</v>
          </cell>
          <cell r="K1159">
            <v>4.4999999999999998E-2</v>
          </cell>
          <cell r="L1159" t="str">
            <v>Kg</v>
          </cell>
          <cell r="M1159">
            <v>86.623333333333335</v>
          </cell>
        </row>
        <row r="1160">
          <cell r="H1160">
            <v>220100008</v>
          </cell>
          <cell r="I1160" t="str">
            <v>Guardanapo Embalado</v>
          </cell>
          <cell r="J1160">
            <v>7.1500000000000008E-2</v>
          </cell>
          <cell r="K1160">
            <v>1</v>
          </cell>
          <cell r="L1160" t="str">
            <v>Un</v>
          </cell>
          <cell r="M1160">
            <v>7.1500000000000008E-2</v>
          </cell>
        </row>
        <row r="1161">
          <cell r="H1161">
            <v>210200023</v>
          </cell>
          <cell r="I1161" t="str">
            <v>Tampa 440/550 Ml Milk Shake</v>
          </cell>
          <cell r="J1161">
            <v>0.28471500000000005</v>
          </cell>
          <cell r="K1161">
            <v>1</v>
          </cell>
          <cell r="L1161" t="str">
            <v>Un</v>
          </cell>
          <cell r="M1161">
            <v>0.28471500000000005</v>
          </cell>
        </row>
        <row r="1162">
          <cell r="H1162">
            <v>210200017</v>
          </cell>
          <cell r="I1162" t="str">
            <v>Copo 440 ml Milk Shake</v>
          </cell>
          <cell r="J1162">
            <v>0.37962015000000005</v>
          </cell>
          <cell r="K1162">
            <v>1</v>
          </cell>
          <cell r="L1162" t="str">
            <v>Un</v>
          </cell>
          <cell r="M1162">
            <v>0.37962015000000005</v>
          </cell>
        </row>
        <row r="1163">
          <cell r="B1163">
            <v>100500015</v>
          </cell>
          <cell r="C1163">
            <v>1005</v>
          </cell>
          <cell r="D1163" t="str">
            <v>MsDoce Leite 500 ml</v>
          </cell>
          <cell r="E1163">
            <v>5.1824476450000008</v>
          </cell>
          <cell r="F1163">
            <v>18.641898003597124</v>
          </cell>
          <cell r="G1163">
            <v>21.426584426398016</v>
          </cell>
          <cell r="H1163">
            <v>216000016</v>
          </cell>
          <cell r="I1163" t="str">
            <v>Leite Integral</v>
          </cell>
          <cell r="J1163">
            <v>0.2</v>
          </cell>
          <cell r="K1163">
            <v>0.05</v>
          </cell>
          <cell r="L1163" t="str">
            <v>Lt</v>
          </cell>
          <cell r="M1163">
            <v>4</v>
          </cell>
        </row>
        <row r="1164">
          <cell r="H1164">
            <v>216000015</v>
          </cell>
          <cell r="I1164" t="str">
            <v>Doce de Leite</v>
          </cell>
          <cell r="J1164">
            <v>0.98144062500000007</v>
          </cell>
          <cell r="K1164">
            <v>4.4999999999999998E-2</v>
          </cell>
          <cell r="L1164" t="str">
            <v>Lt</v>
          </cell>
          <cell r="M1164">
            <v>21.809791666666669</v>
          </cell>
        </row>
        <row r="1165">
          <cell r="H1165">
            <v>210100001</v>
          </cell>
          <cell r="I1165" t="str">
            <v>Bebida Láctea Uht (Baunilha)</v>
          </cell>
          <cell r="J1165">
            <v>3.0774265199999999</v>
          </cell>
          <cell r="K1165">
            <v>0.28199999999999997</v>
          </cell>
          <cell r="L1165" t="str">
            <v>Lt</v>
          </cell>
          <cell r="M1165">
            <v>10.91286</v>
          </cell>
        </row>
        <row r="1166">
          <cell r="H1166">
            <v>210200027</v>
          </cell>
          <cell r="I1166" t="str">
            <v>Copo 550 Ml  Milk Shake</v>
          </cell>
          <cell r="J1166">
            <v>0.44045820000000002</v>
          </cell>
          <cell r="K1166">
            <v>1</v>
          </cell>
          <cell r="L1166" t="str">
            <v>Un</v>
          </cell>
          <cell r="M1166">
            <v>0.44045820000000002</v>
          </cell>
        </row>
        <row r="1167">
          <cell r="H1167">
            <v>210200023</v>
          </cell>
          <cell r="I1167" t="str">
            <v>Tampa 440/550 Ml Milk Shake</v>
          </cell>
          <cell r="J1167">
            <v>0.28471500000000005</v>
          </cell>
          <cell r="K1167">
            <v>1</v>
          </cell>
          <cell r="L1167" t="str">
            <v>Un</v>
          </cell>
          <cell r="M1167">
            <v>0.28471500000000005</v>
          </cell>
        </row>
        <row r="1168">
          <cell r="H1168">
            <v>220100008</v>
          </cell>
          <cell r="I1168" t="str">
            <v>Guardanapo Embalado</v>
          </cell>
          <cell r="J1168">
            <v>7.1500000000000008E-2</v>
          </cell>
          <cell r="K1168">
            <v>1</v>
          </cell>
          <cell r="L1168" t="str">
            <v>Un</v>
          </cell>
          <cell r="M1168">
            <v>7.1500000000000008E-2</v>
          </cell>
        </row>
        <row r="1169">
          <cell r="H1169">
            <v>210200021</v>
          </cell>
          <cell r="I1169" t="str">
            <v>Canudo para Milk Shake 10 mm</v>
          </cell>
          <cell r="J1169">
            <v>0.12690729999999997</v>
          </cell>
          <cell r="K1169">
            <v>1</v>
          </cell>
          <cell r="L1169" t="str">
            <v>Un</v>
          </cell>
          <cell r="M1169">
            <v>0.12690729999999997</v>
          </cell>
        </row>
        <row r="1170">
          <cell r="B1170">
            <v>100500020</v>
          </cell>
          <cell r="C1170">
            <v>1005</v>
          </cell>
          <cell r="D1170" t="str">
            <v>Msfrutas Vermelhas 500 ml</v>
          </cell>
          <cell r="E1170">
            <v>6.361607020000001</v>
          </cell>
          <cell r="F1170">
            <v>22.883478489208635</v>
          </cell>
          <cell r="G1170">
            <v>25.493790054318666</v>
          </cell>
          <cell r="H1170">
            <v>216000016</v>
          </cell>
          <cell r="I1170" t="str">
            <v>Leite Integral</v>
          </cell>
          <cell r="J1170">
            <v>0.2</v>
          </cell>
          <cell r="K1170">
            <v>0.05</v>
          </cell>
          <cell r="L1170" t="str">
            <v>Lt</v>
          </cell>
          <cell r="M1170">
            <v>4</v>
          </cell>
        </row>
        <row r="1171">
          <cell r="H1171">
            <v>210100001</v>
          </cell>
          <cell r="I1171" t="str">
            <v>Bebida Láctea Uht (Baunilha)</v>
          </cell>
          <cell r="J1171">
            <v>3.0774265199999999</v>
          </cell>
          <cell r="K1171">
            <v>0.28199999999999997</v>
          </cell>
          <cell r="L1171" t="str">
            <v>Lt</v>
          </cell>
          <cell r="M1171">
            <v>10.91286</v>
          </cell>
        </row>
        <row r="1172">
          <cell r="H1172">
            <v>216099999</v>
          </cell>
          <cell r="I1172" t="str">
            <v>Mescla de Frutas Vermelhas</v>
          </cell>
          <cell r="J1172">
            <v>2.1606000000000001</v>
          </cell>
          <cell r="K1172">
            <v>0.06</v>
          </cell>
          <cell r="L1172" t="str">
            <v>Kg</v>
          </cell>
          <cell r="M1172">
            <v>36.010000000000005</v>
          </cell>
        </row>
        <row r="1173">
          <cell r="H1173">
            <v>210200027</v>
          </cell>
          <cell r="I1173" t="str">
            <v>Copo 550 Ml  Milk Shake</v>
          </cell>
          <cell r="J1173">
            <v>0.44045820000000002</v>
          </cell>
          <cell r="K1173">
            <v>1</v>
          </cell>
          <cell r="L1173" t="str">
            <v>Un</v>
          </cell>
          <cell r="M1173">
            <v>0.44045820000000002</v>
          </cell>
        </row>
        <row r="1174">
          <cell r="H1174">
            <v>210200023</v>
          </cell>
          <cell r="I1174" t="str">
            <v>Tampa 440/550 Ml Milk Shake</v>
          </cell>
          <cell r="J1174">
            <v>0.28471500000000005</v>
          </cell>
          <cell r="K1174">
            <v>1</v>
          </cell>
          <cell r="L1174" t="str">
            <v>Un</v>
          </cell>
          <cell r="M1174">
            <v>0.28471500000000005</v>
          </cell>
        </row>
        <row r="1175">
          <cell r="H1175">
            <v>220100008</v>
          </cell>
          <cell r="I1175" t="str">
            <v>Guardanapo Embalado</v>
          </cell>
          <cell r="J1175">
            <v>7.1500000000000008E-2</v>
          </cell>
          <cell r="K1175">
            <v>1</v>
          </cell>
          <cell r="L1175" t="str">
            <v>un</v>
          </cell>
          <cell r="M1175">
            <v>7.1500000000000008E-2</v>
          </cell>
        </row>
        <row r="1176">
          <cell r="H1176">
            <v>210200021</v>
          </cell>
          <cell r="I1176" t="str">
            <v>Canudo para Milk Shake 10 mm</v>
          </cell>
          <cell r="J1176">
            <v>0.12690729999999997</v>
          </cell>
          <cell r="K1176">
            <v>1</v>
          </cell>
          <cell r="L1176" t="str">
            <v>Un</v>
          </cell>
          <cell r="M1176">
            <v>0.12690729999999997</v>
          </cell>
        </row>
        <row r="1177">
          <cell r="B1177">
            <v>100500027</v>
          </cell>
          <cell r="C1177">
            <v>1005</v>
          </cell>
          <cell r="D1177" t="str">
            <v>MsChocolate Branco 500 ml</v>
          </cell>
          <cell r="E1177">
            <v>5.6856070200000017</v>
          </cell>
          <cell r="F1177">
            <v>20.451823812949645</v>
          </cell>
          <cell r="G1177">
            <v>23.162102699100586</v>
          </cell>
          <cell r="H1177">
            <v>216000016</v>
          </cell>
          <cell r="I1177" t="str">
            <v>Leite Integral</v>
          </cell>
          <cell r="J1177">
            <v>0.2</v>
          </cell>
          <cell r="K1177">
            <v>0.05</v>
          </cell>
          <cell r="L1177" t="str">
            <v>Lt</v>
          </cell>
          <cell r="M1177">
            <v>4</v>
          </cell>
        </row>
        <row r="1178">
          <cell r="H1178">
            <v>210100001</v>
          </cell>
          <cell r="I1178" t="str">
            <v>Bebida Láctea Uht (Baunilha)</v>
          </cell>
          <cell r="J1178">
            <v>3.0774265199999999</v>
          </cell>
          <cell r="K1178">
            <v>0.28199999999999997</v>
          </cell>
          <cell r="L1178" t="str">
            <v>Lt</v>
          </cell>
          <cell r="M1178">
            <v>10.91286</v>
          </cell>
        </row>
        <row r="1179">
          <cell r="H1179">
            <v>210900006</v>
          </cell>
          <cell r="I1179" t="str">
            <v>Stracciatella Branca</v>
          </cell>
          <cell r="J1179">
            <v>1.4846000000000004</v>
          </cell>
          <cell r="K1179">
            <v>0.04</v>
          </cell>
          <cell r="L1179" t="str">
            <v>Kg</v>
          </cell>
          <cell r="M1179">
            <v>37.115000000000009</v>
          </cell>
        </row>
        <row r="1180">
          <cell r="H1180">
            <v>210200027</v>
          </cell>
          <cell r="I1180" t="str">
            <v>Copo 550 Ml  Milk Shake</v>
          </cell>
          <cell r="J1180">
            <v>0.44045820000000002</v>
          </cell>
          <cell r="K1180">
            <v>1</v>
          </cell>
          <cell r="L1180" t="str">
            <v>Un</v>
          </cell>
          <cell r="M1180">
            <v>0.44045820000000002</v>
          </cell>
        </row>
        <row r="1181">
          <cell r="H1181">
            <v>210200023</v>
          </cell>
          <cell r="I1181" t="str">
            <v>Tampa 440/550 Ml Milk Shake</v>
          </cell>
          <cell r="J1181">
            <v>0.28471500000000005</v>
          </cell>
          <cell r="K1181">
            <v>1</v>
          </cell>
          <cell r="L1181" t="str">
            <v>Un</v>
          </cell>
          <cell r="M1181">
            <v>0.28471500000000005</v>
          </cell>
        </row>
        <row r="1182">
          <cell r="H1182">
            <v>220100008</v>
          </cell>
          <cell r="I1182" t="str">
            <v>Guardanapo Embalado</v>
          </cell>
          <cell r="J1182">
            <v>7.1500000000000008E-2</v>
          </cell>
          <cell r="K1182">
            <v>1</v>
          </cell>
          <cell r="L1182" t="str">
            <v>un</v>
          </cell>
          <cell r="M1182">
            <v>7.1500000000000008E-2</v>
          </cell>
        </row>
        <row r="1183">
          <cell r="H1183">
            <v>210200021</v>
          </cell>
          <cell r="I1183" t="str">
            <v>Canudo para Milk Shake 10 mm</v>
          </cell>
          <cell r="J1183">
            <v>0.12690729999999997</v>
          </cell>
          <cell r="K1183">
            <v>1</v>
          </cell>
          <cell r="L1183" t="str">
            <v>Un</v>
          </cell>
          <cell r="M1183">
            <v>0.12690729999999997</v>
          </cell>
        </row>
        <row r="1184">
          <cell r="B1184">
            <v>100500032</v>
          </cell>
          <cell r="C1184">
            <v>1005</v>
          </cell>
          <cell r="D1184" t="str">
            <v>MsMaracuja 500 ml</v>
          </cell>
          <cell r="E1184">
            <v>5.4127927342857154</v>
          </cell>
          <cell r="F1184">
            <v>19.470477461459406</v>
          </cell>
          <cell r="G1184">
            <v>22.221100302173284</v>
          </cell>
          <cell r="H1184">
            <v>216000016</v>
          </cell>
          <cell r="I1184" t="str">
            <v>Leite Integral</v>
          </cell>
          <cell r="J1184">
            <v>0.2</v>
          </cell>
          <cell r="K1184">
            <v>0.05</v>
          </cell>
          <cell r="L1184" t="str">
            <v>Lt</v>
          </cell>
          <cell r="M1184">
            <v>4</v>
          </cell>
        </row>
        <row r="1185">
          <cell r="H1185">
            <v>210100001</v>
          </cell>
          <cell r="I1185" t="str">
            <v>Bebida Láctea Uht (Baunilha)</v>
          </cell>
          <cell r="J1185">
            <v>3.0774265199999999</v>
          </cell>
          <cell r="K1185">
            <v>0.28199999999999997</v>
          </cell>
          <cell r="L1185" t="str">
            <v>Lt</v>
          </cell>
          <cell r="M1185">
            <v>10.91286</v>
          </cell>
        </row>
        <row r="1186">
          <cell r="H1186">
            <v>210400015</v>
          </cell>
          <cell r="I1186" t="str">
            <v>Mescla de Maracujá</v>
          </cell>
          <cell r="J1186">
            <v>1.2117857142857142</v>
          </cell>
          <cell r="K1186">
            <v>4.4999999999999998E-2</v>
          </cell>
          <cell r="L1186" t="str">
            <v>Kg</v>
          </cell>
          <cell r="M1186">
            <v>26.928571428571431</v>
          </cell>
        </row>
        <row r="1187">
          <cell r="H1187">
            <v>210200027</v>
          </cell>
          <cell r="I1187" t="str">
            <v>Copo 550 Ml  Milk Shake</v>
          </cell>
          <cell r="J1187">
            <v>0.44045820000000002</v>
          </cell>
          <cell r="K1187">
            <v>1</v>
          </cell>
          <cell r="L1187" t="str">
            <v>Un</v>
          </cell>
          <cell r="M1187">
            <v>0.44045820000000002</v>
          </cell>
        </row>
        <row r="1188">
          <cell r="H1188">
            <v>210200023</v>
          </cell>
          <cell r="I1188" t="str">
            <v>Tampa 440/550 Ml Milk Shake</v>
          </cell>
          <cell r="J1188">
            <v>0.28471500000000005</v>
          </cell>
          <cell r="K1188">
            <v>1</v>
          </cell>
          <cell r="L1188" t="str">
            <v>Un</v>
          </cell>
          <cell r="M1188">
            <v>0.28471500000000005</v>
          </cell>
        </row>
        <row r="1189">
          <cell r="H1189">
            <v>220100008</v>
          </cell>
          <cell r="I1189" t="str">
            <v>Guardanapo Embalado</v>
          </cell>
          <cell r="J1189">
            <v>7.1500000000000008E-2</v>
          </cell>
          <cell r="K1189">
            <v>1</v>
          </cell>
          <cell r="L1189" t="str">
            <v>Un</v>
          </cell>
          <cell r="M1189">
            <v>7.1500000000000008E-2</v>
          </cell>
        </row>
        <row r="1190">
          <cell r="H1190">
            <v>210200021</v>
          </cell>
          <cell r="I1190" t="str">
            <v>Canudo para Milk Shake 10 mm</v>
          </cell>
          <cell r="J1190">
            <v>0.12690729999999997</v>
          </cell>
          <cell r="K1190">
            <v>1</v>
          </cell>
          <cell r="L1190" t="str">
            <v>Un</v>
          </cell>
          <cell r="M1190">
            <v>0.12690729999999997</v>
          </cell>
        </row>
        <row r="1191">
          <cell r="B1191">
            <v>100500035</v>
          </cell>
          <cell r="C1191">
            <v>1005</v>
          </cell>
          <cell r="D1191" t="str">
            <v>Msmorango 500 ml</v>
          </cell>
          <cell r="E1191">
            <v>6.1331784485714289</v>
          </cell>
          <cell r="F1191">
            <v>22.061792980472763</v>
          </cell>
          <cell r="G1191">
            <v>24.705884711758706</v>
          </cell>
          <cell r="H1191">
            <v>210400016</v>
          </cell>
          <cell r="I1191" t="str">
            <v>Mescla de Morango</v>
          </cell>
          <cell r="J1191">
            <v>1.9321714285714284</v>
          </cell>
          <cell r="K1191">
            <v>0.06</v>
          </cell>
          <cell r="L1191" t="str">
            <v>Kg</v>
          </cell>
          <cell r="M1191">
            <v>32.202857142857141</v>
          </cell>
        </row>
        <row r="1192">
          <cell r="H1192">
            <v>216000016</v>
          </cell>
          <cell r="I1192" t="str">
            <v>Leite Integral</v>
          </cell>
          <cell r="J1192">
            <v>0.2</v>
          </cell>
          <cell r="K1192">
            <v>0.05</v>
          </cell>
          <cell r="L1192" t="str">
            <v>Lt</v>
          </cell>
          <cell r="M1192">
            <v>4</v>
          </cell>
        </row>
        <row r="1193">
          <cell r="H1193">
            <v>210100001</v>
          </cell>
          <cell r="I1193" t="str">
            <v>Bebida Láctea Uht (Baunilha)</v>
          </cell>
          <cell r="J1193">
            <v>3.0774265199999999</v>
          </cell>
          <cell r="K1193">
            <v>0.28199999999999997</v>
          </cell>
          <cell r="L1193" t="str">
            <v>Lt</v>
          </cell>
          <cell r="M1193">
            <v>10.91286</v>
          </cell>
        </row>
        <row r="1194">
          <cell r="H1194">
            <v>210200027</v>
          </cell>
          <cell r="I1194" t="str">
            <v>Copo 550 Ml  Milk Shake</v>
          </cell>
          <cell r="J1194">
            <v>0.44045820000000002</v>
          </cell>
          <cell r="K1194">
            <v>1</v>
          </cell>
          <cell r="L1194" t="str">
            <v>Un</v>
          </cell>
          <cell r="M1194">
            <v>0.44045820000000002</v>
          </cell>
        </row>
        <row r="1195">
          <cell r="H1195">
            <v>210200023</v>
          </cell>
          <cell r="I1195" t="str">
            <v>Tampa 440/550 Ml Milk Shake</v>
          </cell>
          <cell r="J1195">
            <v>0.28471500000000005</v>
          </cell>
          <cell r="K1195">
            <v>1</v>
          </cell>
          <cell r="L1195" t="str">
            <v>Un</v>
          </cell>
          <cell r="M1195">
            <v>0.28471500000000005</v>
          </cell>
        </row>
        <row r="1196">
          <cell r="H1196">
            <v>220100008</v>
          </cell>
          <cell r="I1196" t="str">
            <v>Guardanapo Embalado</v>
          </cell>
          <cell r="J1196">
            <v>7.1500000000000008E-2</v>
          </cell>
          <cell r="K1196">
            <v>1</v>
          </cell>
          <cell r="L1196" t="str">
            <v>Un</v>
          </cell>
          <cell r="M1196">
            <v>7.1500000000000008E-2</v>
          </cell>
        </row>
        <row r="1197">
          <cell r="H1197">
            <v>210200021</v>
          </cell>
          <cell r="I1197" t="str">
            <v>Canudo para Milk Shake 10 mm</v>
          </cell>
          <cell r="J1197">
            <v>0.12690729999999997</v>
          </cell>
          <cell r="K1197">
            <v>1</v>
          </cell>
          <cell r="L1197" t="str">
            <v>Un</v>
          </cell>
          <cell r="M1197">
            <v>0.12690729999999997</v>
          </cell>
        </row>
        <row r="1198">
          <cell r="B1198">
            <v>100500042</v>
          </cell>
          <cell r="C1198">
            <v>1005</v>
          </cell>
          <cell r="D1198" t="str">
            <v>MsBombom de Morango 500 ml</v>
          </cell>
          <cell r="E1198">
            <v>7.3670084485714291</v>
          </cell>
          <cell r="F1198">
            <v>26.500030390544708</v>
          </cell>
          <cell r="G1198">
            <v>28.96166253644617</v>
          </cell>
          <cell r="H1198">
            <v>210400016</v>
          </cell>
          <cell r="I1198" t="str">
            <v>Mescla de Morango</v>
          </cell>
          <cell r="J1198">
            <v>1.9321714285714284</v>
          </cell>
          <cell r="K1198">
            <v>0.06</v>
          </cell>
          <cell r="L1198" t="str">
            <v>Kg</v>
          </cell>
          <cell r="M1198">
            <v>32.202857142857141</v>
          </cell>
        </row>
        <row r="1199">
          <cell r="H1199">
            <v>216000016</v>
          </cell>
          <cell r="I1199" t="str">
            <v>Leite Integral</v>
          </cell>
          <cell r="J1199">
            <v>0.2</v>
          </cell>
          <cell r="K1199">
            <v>0.05</v>
          </cell>
          <cell r="L1199" t="str">
            <v>Lt</v>
          </cell>
          <cell r="M1199">
            <v>4</v>
          </cell>
        </row>
        <row r="1200">
          <cell r="H1200">
            <v>210100001</v>
          </cell>
          <cell r="I1200" t="str">
            <v>Bebida Láctea Uht (Baunilha)</v>
          </cell>
          <cell r="J1200">
            <v>3.0774265199999999</v>
          </cell>
          <cell r="K1200">
            <v>0.28199999999999997</v>
          </cell>
          <cell r="L1200" t="str">
            <v>Lt</v>
          </cell>
          <cell r="M1200">
            <v>10.91286</v>
          </cell>
        </row>
        <row r="1201">
          <cell r="H1201">
            <v>210900005</v>
          </cell>
          <cell r="I1201" t="str">
            <v>Stracciatella Meio Amarga</v>
          </cell>
          <cell r="J1201">
            <v>1.23383</v>
          </cell>
          <cell r="K1201">
            <v>0.04</v>
          </cell>
          <cell r="L1201" t="str">
            <v>Kg</v>
          </cell>
          <cell r="M1201">
            <v>30.845749999999999</v>
          </cell>
        </row>
        <row r="1202">
          <cell r="H1202">
            <v>210200027</v>
          </cell>
          <cell r="I1202" t="str">
            <v>Copo 550 Ml  Milk Shake</v>
          </cell>
          <cell r="J1202">
            <v>0.44045820000000002</v>
          </cell>
          <cell r="K1202">
            <v>1</v>
          </cell>
          <cell r="L1202" t="str">
            <v>Un</v>
          </cell>
          <cell r="M1202">
            <v>0.44045820000000002</v>
          </cell>
        </row>
        <row r="1203">
          <cell r="H1203">
            <v>210200023</v>
          </cell>
          <cell r="I1203" t="str">
            <v>Tampa 440/550 Ml Milk Shake</v>
          </cell>
          <cell r="J1203">
            <v>0.28471500000000005</v>
          </cell>
          <cell r="K1203">
            <v>1</v>
          </cell>
          <cell r="L1203" t="str">
            <v>Un</v>
          </cell>
          <cell r="M1203">
            <v>0.28471500000000005</v>
          </cell>
        </row>
        <row r="1204">
          <cell r="H1204">
            <v>220100008</v>
          </cell>
          <cell r="I1204" t="str">
            <v>Guardanapo Embalado</v>
          </cell>
          <cell r="J1204">
            <v>7.1500000000000008E-2</v>
          </cell>
          <cell r="K1204">
            <v>1</v>
          </cell>
          <cell r="L1204" t="str">
            <v>Un</v>
          </cell>
          <cell r="M1204">
            <v>7.1500000000000008E-2</v>
          </cell>
        </row>
        <row r="1205">
          <cell r="H1205">
            <v>210200021</v>
          </cell>
          <cell r="I1205" t="str">
            <v>Canudo para Milk Shake 10 mm</v>
          </cell>
          <cell r="J1205">
            <v>0.12690729999999997</v>
          </cell>
          <cell r="K1205">
            <v>1</v>
          </cell>
          <cell r="L1205" t="str">
            <v>Un</v>
          </cell>
          <cell r="M1205">
            <v>0.12690729999999997</v>
          </cell>
        </row>
        <row r="1206">
          <cell r="B1206">
            <v>100500005</v>
          </cell>
          <cell r="C1206">
            <v>1005</v>
          </cell>
          <cell r="D1206" t="str">
            <v>Msbrigadeiro 500 ml</v>
          </cell>
          <cell r="E1206">
            <v>5.0505119704950507</v>
          </cell>
          <cell r="F1206">
            <v>18.167309246385074</v>
          </cell>
          <cell r="G1206">
            <v>20.971506402810206</v>
          </cell>
          <cell r="H1206">
            <v>216000016</v>
          </cell>
          <cell r="I1206" t="str">
            <v>Leite Integral</v>
          </cell>
          <cell r="J1206">
            <v>0.2</v>
          </cell>
          <cell r="K1206">
            <v>0.05</v>
          </cell>
          <cell r="L1206" t="str">
            <v>Lt</v>
          </cell>
          <cell r="M1206">
            <v>4</v>
          </cell>
        </row>
        <row r="1207">
          <cell r="H1207">
            <v>210100002</v>
          </cell>
          <cell r="I1207" t="str">
            <v>Bebida Láctea Uht (Chocolate)</v>
          </cell>
          <cell r="J1207">
            <v>3.0774265199999999</v>
          </cell>
          <cell r="K1207">
            <v>0.28199999999999997</v>
          </cell>
          <cell r="L1207" t="str">
            <v>Un</v>
          </cell>
          <cell r="M1207">
            <v>10.91286</v>
          </cell>
        </row>
        <row r="1208">
          <cell r="H1208">
            <v>210900009</v>
          </cell>
          <cell r="I1208" t="str">
            <v>Chocolate Granulado</v>
          </cell>
          <cell r="J1208">
            <v>0.84950495049504948</v>
          </cell>
          <cell r="K1208">
            <v>0.04</v>
          </cell>
          <cell r="L1208" t="str">
            <v>Kg</v>
          </cell>
          <cell r="M1208">
            <v>21.237623762376238</v>
          </cell>
        </row>
        <row r="1209">
          <cell r="H1209">
            <v>210200027</v>
          </cell>
          <cell r="I1209" t="str">
            <v>Copo 550 Ml  Milk Shake</v>
          </cell>
          <cell r="J1209">
            <v>0.44045820000000002</v>
          </cell>
          <cell r="K1209">
            <v>1</v>
          </cell>
          <cell r="L1209" t="str">
            <v>Un</v>
          </cell>
          <cell r="M1209">
            <v>0.44045820000000002</v>
          </cell>
        </row>
        <row r="1210">
          <cell r="H1210">
            <v>210200023</v>
          </cell>
          <cell r="I1210" t="str">
            <v>Tampa 440/550 Ml Milk Shake</v>
          </cell>
          <cell r="J1210">
            <v>0.28471500000000005</v>
          </cell>
          <cell r="K1210">
            <v>1</v>
          </cell>
          <cell r="L1210" t="str">
            <v>Un</v>
          </cell>
          <cell r="M1210">
            <v>0.28471500000000005</v>
          </cell>
        </row>
        <row r="1211">
          <cell r="H1211">
            <v>220100008</v>
          </cell>
          <cell r="I1211" t="str">
            <v>Guardanapo Embalado</v>
          </cell>
          <cell r="J1211">
            <v>7.1500000000000008E-2</v>
          </cell>
          <cell r="K1211">
            <v>1</v>
          </cell>
          <cell r="L1211" t="str">
            <v>Un</v>
          </cell>
          <cell r="M1211">
            <v>7.1500000000000008E-2</v>
          </cell>
        </row>
        <row r="1212">
          <cell r="H1212">
            <v>210200021</v>
          </cell>
          <cell r="I1212" t="str">
            <v>Canudo para Milk Shake 10 mm</v>
          </cell>
          <cell r="J1212">
            <v>0.12690729999999997</v>
          </cell>
          <cell r="K1212">
            <v>1</v>
          </cell>
          <cell r="L1212" t="str">
            <v>Kg</v>
          </cell>
          <cell r="M1212">
            <v>0.12690729999999997</v>
          </cell>
        </row>
        <row r="1213">
          <cell r="B1213">
            <v>100500006</v>
          </cell>
          <cell r="C1213">
            <v>1005</v>
          </cell>
          <cell r="D1213" t="str">
            <v>Mscappuccino 500 ml</v>
          </cell>
          <cell r="E1213">
            <v>5.927017020000001</v>
          </cell>
          <cell r="F1213">
            <v>21.320205107913672</v>
          </cell>
          <cell r="G1213">
            <v>23.994784125762116</v>
          </cell>
          <cell r="H1213">
            <v>216000016</v>
          </cell>
          <cell r="I1213" t="str">
            <v>Leite Integral</v>
          </cell>
          <cell r="J1213">
            <v>0.2</v>
          </cell>
          <cell r="K1213">
            <v>0.05</v>
          </cell>
          <cell r="L1213" t="str">
            <v>Lt</v>
          </cell>
          <cell r="M1213">
            <v>4</v>
          </cell>
        </row>
        <row r="1214">
          <cell r="H1214">
            <v>210100001</v>
          </cell>
          <cell r="I1214" t="str">
            <v>Bebida Láctea Uht (Baunilha)</v>
          </cell>
          <cell r="J1214">
            <v>3.0774265199999999</v>
          </cell>
          <cell r="K1214">
            <v>0.28199999999999997</v>
          </cell>
          <cell r="L1214" t="str">
            <v>Kg</v>
          </cell>
          <cell r="M1214">
            <v>10.91286</v>
          </cell>
        </row>
        <row r="1215">
          <cell r="H1215">
            <v>216000023</v>
          </cell>
          <cell r="I1215" t="str">
            <v>Cappuccino</v>
          </cell>
          <cell r="J1215">
            <v>1.72601</v>
          </cell>
          <cell r="K1215">
            <v>2.5999999999999999E-2</v>
          </cell>
          <cell r="L1215" t="str">
            <v>Lt</v>
          </cell>
          <cell r="M1215">
            <v>66.385000000000005</v>
          </cell>
        </row>
        <row r="1216">
          <cell r="H1216">
            <v>210200027</v>
          </cell>
          <cell r="I1216" t="str">
            <v>Copo 550 Ml  Milk Shake</v>
          </cell>
          <cell r="J1216">
            <v>0.44045820000000002</v>
          </cell>
          <cell r="K1216">
            <v>1</v>
          </cell>
          <cell r="L1216" t="str">
            <v>Un</v>
          </cell>
          <cell r="M1216">
            <v>0.44045820000000002</v>
          </cell>
        </row>
        <row r="1217">
          <cell r="H1217">
            <v>210200023</v>
          </cell>
          <cell r="I1217" t="str">
            <v>Tampa 440/550 Ml Milk Shake</v>
          </cell>
          <cell r="J1217">
            <v>0.28471500000000005</v>
          </cell>
          <cell r="K1217">
            <v>1</v>
          </cell>
          <cell r="L1217" t="str">
            <v>Un</v>
          </cell>
          <cell r="M1217">
            <v>0.28471500000000005</v>
          </cell>
        </row>
        <row r="1218">
          <cell r="H1218">
            <v>220100008</v>
          </cell>
          <cell r="I1218" t="str">
            <v>Guardanapo Embalado</v>
          </cell>
          <cell r="J1218">
            <v>7.1500000000000008E-2</v>
          </cell>
          <cell r="K1218">
            <v>1</v>
          </cell>
          <cell r="L1218" t="str">
            <v>Un</v>
          </cell>
          <cell r="M1218">
            <v>7.1500000000000008E-2</v>
          </cell>
        </row>
        <row r="1219">
          <cell r="H1219">
            <v>210200021</v>
          </cell>
          <cell r="I1219" t="str">
            <v>Canudo para Milk Shake 10 mm</v>
          </cell>
          <cell r="J1219">
            <v>0.12690729999999997</v>
          </cell>
          <cell r="K1219">
            <v>1</v>
          </cell>
          <cell r="L1219" t="str">
            <v>Un</v>
          </cell>
          <cell r="M1219">
            <v>0.12690729999999997</v>
          </cell>
        </row>
        <row r="1220">
          <cell r="B1220">
            <v>100500046</v>
          </cell>
          <cell r="C1220">
            <v>1005</v>
          </cell>
          <cell r="D1220" t="str">
            <v>MsMousse de Chocolate 500 ml</v>
          </cell>
          <cell r="E1220">
            <v>5.1824476450000008</v>
          </cell>
          <cell r="F1220">
            <v>18.641898003597124</v>
          </cell>
          <cell r="G1220">
            <v>21.426584426398016</v>
          </cell>
          <cell r="H1220">
            <v>216000015</v>
          </cell>
          <cell r="I1220" t="str">
            <v>Doce de Leite</v>
          </cell>
          <cell r="J1220">
            <v>0.98144062500000007</v>
          </cell>
          <cell r="K1220">
            <v>4.4999999999999998E-2</v>
          </cell>
          <cell r="L1220" t="str">
            <v>Kg</v>
          </cell>
          <cell r="M1220">
            <v>21.809791666666669</v>
          </cell>
        </row>
        <row r="1221">
          <cell r="H1221">
            <v>216000016</v>
          </cell>
          <cell r="I1221" t="str">
            <v>Leite Integral</v>
          </cell>
          <cell r="J1221">
            <v>0.2</v>
          </cell>
          <cell r="K1221">
            <v>0.05</v>
          </cell>
          <cell r="L1221" t="str">
            <v>Lt</v>
          </cell>
          <cell r="M1221">
            <v>4</v>
          </cell>
        </row>
        <row r="1222">
          <cell r="H1222">
            <v>210100002</v>
          </cell>
          <cell r="I1222" t="str">
            <v>Bebida Láctea Uht (Chocolate)</v>
          </cell>
          <cell r="J1222">
            <v>3.0774265199999999</v>
          </cell>
          <cell r="K1222">
            <v>0.28199999999999997</v>
          </cell>
          <cell r="L1222" t="str">
            <v>Lt</v>
          </cell>
          <cell r="M1222">
            <v>10.91286</v>
          </cell>
        </row>
        <row r="1223">
          <cell r="H1223">
            <v>210200027</v>
          </cell>
          <cell r="I1223" t="str">
            <v>Copo 550 Ml  Milk Shake</v>
          </cell>
          <cell r="J1223">
            <v>0.44045820000000002</v>
          </cell>
          <cell r="K1223">
            <v>1</v>
          </cell>
          <cell r="L1223" t="str">
            <v>Un</v>
          </cell>
          <cell r="M1223">
            <v>0.44045820000000002</v>
          </cell>
        </row>
        <row r="1224">
          <cell r="H1224">
            <v>210200023</v>
          </cell>
          <cell r="I1224" t="str">
            <v>Tampa 440/550 Ml Milk Shake</v>
          </cell>
          <cell r="J1224">
            <v>0.28471500000000005</v>
          </cell>
          <cell r="K1224">
            <v>1</v>
          </cell>
          <cell r="L1224" t="str">
            <v>Un</v>
          </cell>
          <cell r="M1224">
            <v>0.28471500000000005</v>
          </cell>
        </row>
        <row r="1225">
          <cell r="H1225">
            <v>220100008</v>
          </cell>
          <cell r="I1225" t="str">
            <v>Guardanapo Embalado</v>
          </cell>
          <cell r="J1225">
            <v>7.1500000000000008E-2</v>
          </cell>
          <cell r="K1225">
            <v>1</v>
          </cell>
          <cell r="L1225" t="str">
            <v>un</v>
          </cell>
          <cell r="M1225">
            <v>7.1500000000000008E-2</v>
          </cell>
        </row>
        <row r="1226">
          <cell r="H1226">
            <v>210200021</v>
          </cell>
          <cell r="I1226" t="str">
            <v>Canudo para Milk Shake 10 mm</v>
          </cell>
          <cell r="J1226">
            <v>0.12690729999999997</v>
          </cell>
          <cell r="K1226">
            <v>1</v>
          </cell>
          <cell r="L1226" t="str">
            <v>Un</v>
          </cell>
          <cell r="M1226">
            <v>0.12690729999999997</v>
          </cell>
        </row>
        <row r="1227">
          <cell r="B1227">
            <v>100500011</v>
          </cell>
          <cell r="C1227">
            <v>1005</v>
          </cell>
          <cell r="D1227" t="str">
            <v>MsChocolate 500 ml</v>
          </cell>
          <cell r="E1227">
            <v>4.2010070200000005</v>
          </cell>
          <cell r="F1227">
            <v>15.111536043165469</v>
          </cell>
          <cell r="G1227">
            <v>18.0413585459101</v>
          </cell>
          <cell r="H1227">
            <v>210100002</v>
          </cell>
          <cell r="I1227" t="str">
            <v>Bebida Láctea Uht (Chocolate)</v>
          </cell>
          <cell r="J1227">
            <v>3.0774265199999999</v>
          </cell>
          <cell r="K1227">
            <v>0.28199999999999997</v>
          </cell>
          <cell r="L1227" t="str">
            <v>Lt</v>
          </cell>
          <cell r="M1227">
            <v>10.91286</v>
          </cell>
        </row>
        <row r="1228">
          <cell r="H1228">
            <v>216000016</v>
          </cell>
          <cell r="I1228" t="str">
            <v>Leite Integral</v>
          </cell>
          <cell r="J1228">
            <v>0.2</v>
          </cell>
          <cell r="K1228">
            <v>0.05</v>
          </cell>
          <cell r="L1228" t="str">
            <v>Lt</v>
          </cell>
          <cell r="M1228">
            <v>4</v>
          </cell>
        </row>
        <row r="1229">
          <cell r="H1229">
            <v>210200027</v>
          </cell>
          <cell r="I1229" t="str">
            <v>Copo 550 Ml  Milk Shake</v>
          </cell>
          <cell r="J1229">
            <v>0.44045820000000002</v>
          </cell>
          <cell r="K1229">
            <v>1</v>
          </cell>
          <cell r="L1229" t="str">
            <v>Un</v>
          </cell>
          <cell r="M1229">
            <v>0.44045820000000002</v>
          </cell>
        </row>
        <row r="1230">
          <cell r="H1230">
            <v>210200023</v>
          </cell>
          <cell r="I1230" t="str">
            <v>Tampa 440/550 Ml Milk Shake</v>
          </cell>
          <cell r="J1230">
            <v>0.28471500000000005</v>
          </cell>
          <cell r="K1230">
            <v>1</v>
          </cell>
          <cell r="L1230" t="str">
            <v>Un</v>
          </cell>
          <cell r="M1230">
            <v>0.28471500000000005</v>
          </cell>
        </row>
        <row r="1231">
          <cell r="H1231">
            <v>220100008</v>
          </cell>
          <cell r="I1231" t="str">
            <v>Guardanapo Embalado</v>
          </cell>
          <cell r="J1231">
            <v>7.1500000000000008E-2</v>
          </cell>
          <cell r="K1231">
            <v>1</v>
          </cell>
          <cell r="L1231" t="str">
            <v>un</v>
          </cell>
          <cell r="M1231">
            <v>7.1500000000000008E-2</v>
          </cell>
        </row>
        <row r="1232">
          <cell r="H1232">
            <v>210200021</v>
          </cell>
          <cell r="I1232" t="str">
            <v>Canudo para Milk Shake 10 mm</v>
          </cell>
          <cell r="J1232">
            <v>0.12690729999999997</v>
          </cell>
          <cell r="K1232">
            <v>1</v>
          </cell>
          <cell r="L1232" t="str">
            <v>Un</v>
          </cell>
          <cell r="M1232">
            <v>0.12690729999999997</v>
          </cell>
        </row>
        <row r="1233">
          <cell r="B1233">
            <v>100500012</v>
          </cell>
          <cell r="C1233">
            <v>1005</v>
          </cell>
          <cell r="D1233" t="str">
            <v>MsChocoMenta 500 ml</v>
          </cell>
          <cell r="E1233">
            <v>6.1784370200000005</v>
          </cell>
          <cell r="F1233">
            <v>22.224593597122301</v>
          </cell>
          <cell r="G1233">
            <v>24.861992461337458</v>
          </cell>
          <cell r="H1233">
            <v>216000016</v>
          </cell>
          <cell r="I1233" t="str">
            <v>Leite Integral</v>
          </cell>
          <cell r="J1233">
            <v>0.2</v>
          </cell>
          <cell r="K1233">
            <v>0.05</v>
          </cell>
          <cell r="L1233" t="str">
            <v>Lt</v>
          </cell>
          <cell r="M1233">
            <v>4</v>
          </cell>
        </row>
        <row r="1234">
          <cell r="H1234">
            <v>216000032</v>
          </cell>
          <cell r="I1234" t="str">
            <v>Creme de Menta</v>
          </cell>
          <cell r="J1234">
            <v>0.74359999999999993</v>
          </cell>
          <cell r="K1234">
            <v>1.0999999999999999E-2</v>
          </cell>
          <cell r="L1234" t="str">
            <v>Kg</v>
          </cell>
          <cell r="M1234">
            <v>67.599999999999994</v>
          </cell>
        </row>
        <row r="1235">
          <cell r="H1235">
            <v>210100001</v>
          </cell>
          <cell r="I1235" t="str">
            <v>Bebida Láctea Uht (Baunilha)</v>
          </cell>
          <cell r="J1235">
            <v>3.0774265199999999</v>
          </cell>
          <cell r="K1235">
            <v>0.28199999999999997</v>
          </cell>
          <cell r="L1235" t="str">
            <v>Lt</v>
          </cell>
          <cell r="M1235">
            <v>10.91286</v>
          </cell>
        </row>
        <row r="1236">
          <cell r="H1236">
            <v>210900005</v>
          </cell>
          <cell r="I1236" t="str">
            <v>Stracciatella Meio Amarga</v>
          </cell>
          <cell r="J1236">
            <v>1.23383</v>
          </cell>
          <cell r="K1236">
            <v>0.04</v>
          </cell>
          <cell r="L1236" t="str">
            <v>Kg</v>
          </cell>
          <cell r="M1236">
            <v>30.845749999999999</v>
          </cell>
        </row>
        <row r="1237">
          <cell r="H1237">
            <v>210200027</v>
          </cell>
          <cell r="I1237" t="str">
            <v>Copo 550 Ml  Milk Shake</v>
          </cell>
          <cell r="J1237">
            <v>0.44045820000000002</v>
          </cell>
          <cell r="K1237">
            <v>1</v>
          </cell>
          <cell r="L1237" t="str">
            <v>Un</v>
          </cell>
          <cell r="M1237">
            <v>0.44045820000000002</v>
          </cell>
        </row>
        <row r="1238">
          <cell r="H1238">
            <v>210200023</v>
          </cell>
          <cell r="I1238" t="str">
            <v>Tampa 440/550 Ml Milk Shake</v>
          </cell>
          <cell r="J1238">
            <v>0.28471500000000005</v>
          </cell>
          <cell r="K1238">
            <v>1</v>
          </cell>
          <cell r="L1238" t="str">
            <v>Un</v>
          </cell>
          <cell r="M1238">
            <v>0.28471500000000005</v>
          </cell>
        </row>
        <row r="1239">
          <cell r="H1239">
            <v>220100008</v>
          </cell>
          <cell r="I1239" t="str">
            <v>Guardanapo Embalado</v>
          </cell>
          <cell r="J1239">
            <v>7.1500000000000008E-2</v>
          </cell>
          <cell r="K1239">
            <v>1</v>
          </cell>
          <cell r="L1239" t="str">
            <v>Un</v>
          </cell>
          <cell r="M1239">
            <v>7.1500000000000008E-2</v>
          </cell>
        </row>
        <row r="1240">
          <cell r="H1240">
            <v>210200021</v>
          </cell>
          <cell r="I1240" t="str">
            <v>Canudo para Milk Shake 10 mm</v>
          </cell>
          <cell r="J1240">
            <v>0.12690729999999997</v>
          </cell>
          <cell r="K1240">
            <v>1</v>
          </cell>
          <cell r="L1240" t="str">
            <v>Un</v>
          </cell>
          <cell r="M1240">
            <v>0.12690729999999997</v>
          </cell>
        </row>
        <row r="1241">
          <cell r="B1241">
            <v>100500003</v>
          </cell>
          <cell r="C1241">
            <v>1005</v>
          </cell>
          <cell r="D1241" t="str">
            <v>MsBaunilha 500 ml</v>
          </cell>
          <cell r="E1241">
            <v>4.2010070200000005</v>
          </cell>
          <cell r="F1241">
            <v>15.111536043165469</v>
          </cell>
          <cell r="G1241">
            <v>18.0413585459101</v>
          </cell>
          <cell r="H1241">
            <v>216000016</v>
          </cell>
          <cell r="I1241" t="str">
            <v>Leite Integral</v>
          </cell>
          <cell r="J1241">
            <v>0.2</v>
          </cell>
          <cell r="K1241">
            <v>0.05</v>
          </cell>
          <cell r="L1241" t="str">
            <v>Lt</v>
          </cell>
          <cell r="M1241">
            <v>4</v>
          </cell>
        </row>
        <row r="1242">
          <cell r="H1242">
            <v>210100001</v>
          </cell>
          <cell r="I1242" t="str">
            <v>Bebida Láctea Uht (Baunilha)</v>
          </cell>
          <cell r="J1242">
            <v>3.0774265199999999</v>
          </cell>
          <cell r="K1242">
            <v>0.28199999999999997</v>
          </cell>
          <cell r="L1242" t="str">
            <v>Lt</v>
          </cell>
          <cell r="M1242">
            <v>10.91286</v>
          </cell>
        </row>
        <row r="1243">
          <cell r="H1243">
            <v>210200027</v>
          </cell>
          <cell r="I1243" t="str">
            <v>Copo 550 Ml  Milk Shake</v>
          </cell>
          <cell r="J1243">
            <v>0.44045820000000002</v>
          </cell>
          <cell r="K1243">
            <v>1</v>
          </cell>
          <cell r="L1243" t="str">
            <v>Un</v>
          </cell>
          <cell r="M1243">
            <v>0.44045820000000002</v>
          </cell>
        </row>
        <row r="1244">
          <cell r="H1244">
            <v>210200023</v>
          </cell>
          <cell r="I1244" t="str">
            <v>Tampa 440/550 Ml Milk Shake</v>
          </cell>
          <cell r="J1244">
            <v>0.28471500000000005</v>
          </cell>
          <cell r="K1244">
            <v>1</v>
          </cell>
          <cell r="L1244" t="str">
            <v>Un</v>
          </cell>
          <cell r="M1244">
            <v>0.28471500000000005</v>
          </cell>
        </row>
        <row r="1245">
          <cell r="H1245">
            <v>220100008</v>
          </cell>
          <cell r="I1245" t="str">
            <v>Guardanapo Embalado</v>
          </cell>
          <cell r="J1245">
            <v>7.1500000000000008E-2</v>
          </cell>
          <cell r="K1245">
            <v>1</v>
          </cell>
          <cell r="L1245" t="str">
            <v>Un</v>
          </cell>
          <cell r="M1245">
            <v>7.1500000000000008E-2</v>
          </cell>
        </row>
        <row r="1246">
          <cell r="H1246">
            <v>210200021</v>
          </cell>
          <cell r="I1246" t="str">
            <v>Canudo para Milk Shake 10 mm</v>
          </cell>
          <cell r="J1246">
            <v>0.12690729999999997</v>
          </cell>
          <cell r="K1246">
            <v>1</v>
          </cell>
          <cell r="L1246" t="str">
            <v>Un</v>
          </cell>
          <cell r="M1246">
            <v>0.12690729999999997</v>
          </cell>
        </row>
        <row r="1247">
          <cell r="B1247">
            <v>100500018</v>
          </cell>
          <cell r="C1247">
            <v>1005</v>
          </cell>
          <cell r="D1247" t="str">
            <v>MsFlocos 500 ml</v>
          </cell>
          <cell r="E1247">
            <v>5.4348370200000007</v>
          </cell>
          <cell r="F1247">
            <v>19.54977345323741</v>
          </cell>
          <cell r="G1247">
            <v>22.297136370597567</v>
          </cell>
          <cell r="H1247">
            <v>216000016</v>
          </cell>
          <cell r="I1247" t="str">
            <v>Leite Integral</v>
          </cell>
          <cell r="J1247">
            <v>0.2</v>
          </cell>
          <cell r="K1247">
            <v>0.05</v>
          </cell>
          <cell r="L1247" t="str">
            <v>Lt</v>
          </cell>
          <cell r="M1247">
            <v>4</v>
          </cell>
        </row>
        <row r="1248">
          <cell r="H1248">
            <v>210100001</v>
          </cell>
          <cell r="I1248" t="str">
            <v>Bebida Láctea Uht (Baunilha)</v>
          </cell>
          <cell r="J1248">
            <v>3.0774265199999999</v>
          </cell>
          <cell r="K1248">
            <v>0.28199999999999997</v>
          </cell>
          <cell r="L1248" t="str">
            <v>Lt</v>
          </cell>
          <cell r="M1248">
            <v>10.91286</v>
          </cell>
        </row>
        <row r="1249">
          <cell r="H1249">
            <v>210900005</v>
          </cell>
          <cell r="I1249" t="str">
            <v>Stracciatella Meio Amarga</v>
          </cell>
          <cell r="J1249">
            <v>1.23383</v>
          </cell>
          <cell r="K1249">
            <v>0.04</v>
          </cell>
          <cell r="L1249" t="str">
            <v>Kg</v>
          </cell>
          <cell r="M1249">
            <v>30.845749999999999</v>
          </cell>
        </row>
        <row r="1250">
          <cell r="H1250">
            <v>210200027</v>
          </cell>
          <cell r="I1250" t="str">
            <v>Copo 550 Ml  Milk Shake</v>
          </cell>
          <cell r="J1250">
            <v>0.44045820000000002</v>
          </cell>
          <cell r="K1250">
            <v>1</v>
          </cell>
          <cell r="L1250" t="str">
            <v>Un</v>
          </cell>
          <cell r="M1250">
            <v>0.44045820000000002</v>
          </cell>
        </row>
        <row r="1251">
          <cell r="H1251">
            <v>210200023</v>
          </cell>
          <cell r="I1251" t="str">
            <v>Tampa 440/550 Ml Milk Shake</v>
          </cell>
          <cell r="J1251">
            <v>0.28471500000000005</v>
          </cell>
          <cell r="K1251">
            <v>1</v>
          </cell>
          <cell r="L1251" t="str">
            <v>Un</v>
          </cell>
          <cell r="M1251">
            <v>0.28471500000000005</v>
          </cell>
        </row>
        <row r="1252">
          <cell r="H1252">
            <v>220100008</v>
          </cell>
          <cell r="I1252" t="str">
            <v>Guardanapo Embalado</v>
          </cell>
          <cell r="J1252">
            <v>7.1500000000000008E-2</v>
          </cell>
          <cell r="K1252">
            <v>1</v>
          </cell>
          <cell r="L1252" t="str">
            <v>Un</v>
          </cell>
          <cell r="M1252">
            <v>7.1500000000000008E-2</v>
          </cell>
        </row>
        <row r="1253">
          <cell r="H1253">
            <v>210200021</v>
          </cell>
          <cell r="I1253" t="str">
            <v>Canudo para Milk Shake 10 mm</v>
          </cell>
          <cell r="J1253">
            <v>0.12690729999999997</v>
          </cell>
          <cell r="K1253">
            <v>1</v>
          </cell>
          <cell r="L1253" t="str">
            <v>Un</v>
          </cell>
          <cell r="M1253">
            <v>0.12690729999999997</v>
          </cell>
        </row>
        <row r="1254">
          <cell r="B1254">
            <v>100500026</v>
          </cell>
          <cell r="C1254">
            <v>1005</v>
          </cell>
          <cell r="D1254" t="str">
            <v>MsDuo Chocolate 500 ml</v>
          </cell>
          <cell r="E1254">
            <v>6.304056186666668</v>
          </cell>
          <cell r="F1254">
            <v>22.676461103117507</v>
          </cell>
          <cell r="G1254">
            <v>25.295283323008611</v>
          </cell>
          <cell r="H1254">
            <v>210900005</v>
          </cell>
          <cell r="I1254" t="str">
            <v>Stracciatella Meio Amarga</v>
          </cell>
          <cell r="J1254">
            <v>0.3084575</v>
          </cell>
          <cell r="K1254">
            <v>0.01</v>
          </cell>
          <cell r="L1254" t="str">
            <v>Kg</v>
          </cell>
          <cell r="M1254">
            <v>30.845749999999999</v>
          </cell>
        </row>
        <row r="1255">
          <cell r="H1255">
            <v>210900006</v>
          </cell>
          <cell r="I1255" t="str">
            <v>Stracciatella Branca</v>
          </cell>
          <cell r="J1255">
            <v>0.55672500000000014</v>
          </cell>
          <cell r="K1255">
            <v>1.4999999999999999E-2</v>
          </cell>
          <cell r="L1255" t="str">
            <v>Lt</v>
          </cell>
          <cell r="M1255">
            <v>37.115000000000009</v>
          </cell>
        </row>
        <row r="1256">
          <cell r="H1256">
            <v>216000016</v>
          </cell>
          <cell r="I1256" t="str">
            <v>Leite Integral</v>
          </cell>
          <cell r="J1256">
            <v>0.2</v>
          </cell>
          <cell r="K1256">
            <v>0.05</v>
          </cell>
          <cell r="L1256" t="str">
            <v>Lt</v>
          </cell>
          <cell r="M1256">
            <v>4</v>
          </cell>
        </row>
        <row r="1257">
          <cell r="H1257">
            <v>210100001</v>
          </cell>
          <cell r="I1257" t="str">
            <v>Bebida Láctea Uht (Baunilha)</v>
          </cell>
          <cell r="J1257">
            <v>3.0774265199999999</v>
          </cell>
          <cell r="K1257">
            <v>0.28199999999999997</v>
          </cell>
          <cell r="L1257" t="str">
            <v>Lt</v>
          </cell>
          <cell r="M1257">
            <v>10.91286</v>
          </cell>
        </row>
        <row r="1258">
          <cell r="H1258">
            <v>216000017</v>
          </cell>
          <cell r="I1258" t="str">
            <v>Leite em Pó Ninho</v>
          </cell>
          <cell r="J1258">
            <v>1.2378666666666669</v>
          </cell>
          <cell r="K1258">
            <v>0.02</v>
          </cell>
          <cell r="L1258" t="str">
            <v>Kg</v>
          </cell>
          <cell r="M1258">
            <v>61.893333333333338</v>
          </cell>
        </row>
        <row r="1259">
          <cell r="H1259">
            <v>210200027</v>
          </cell>
          <cell r="I1259" t="str">
            <v>Copo 550 Ml  Milk Shake</v>
          </cell>
          <cell r="J1259">
            <v>0.44045820000000002</v>
          </cell>
          <cell r="K1259">
            <v>1</v>
          </cell>
          <cell r="L1259" t="str">
            <v>Un</v>
          </cell>
          <cell r="M1259">
            <v>0.44045820000000002</v>
          </cell>
        </row>
        <row r="1260">
          <cell r="H1260">
            <v>210200023</v>
          </cell>
          <cell r="I1260" t="str">
            <v>Tampa 440/550 Ml Milk Shake</v>
          </cell>
          <cell r="J1260">
            <v>0.28471500000000005</v>
          </cell>
          <cell r="K1260">
            <v>1</v>
          </cell>
          <cell r="L1260" t="str">
            <v>Un</v>
          </cell>
          <cell r="M1260">
            <v>0.28471500000000005</v>
          </cell>
        </row>
        <row r="1261">
          <cell r="H1261">
            <v>220100008</v>
          </cell>
          <cell r="I1261" t="str">
            <v>Guardanapo Embalado</v>
          </cell>
          <cell r="J1261">
            <v>7.1500000000000008E-2</v>
          </cell>
          <cell r="K1261">
            <v>1</v>
          </cell>
          <cell r="L1261" t="str">
            <v>Un</v>
          </cell>
          <cell r="M1261">
            <v>7.1500000000000008E-2</v>
          </cell>
        </row>
        <row r="1262">
          <cell r="H1262">
            <v>210200021</v>
          </cell>
          <cell r="I1262" t="str">
            <v>Canudo para Milk Shake 10 mm</v>
          </cell>
          <cell r="J1262">
            <v>0.12690729999999997</v>
          </cell>
          <cell r="K1262">
            <v>1</v>
          </cell>
          <cell r="L1262" t="str">
            <v>Un</v>
          </cell>
          <cell r="M1262">
            <v>0.12690729999999997</v>
          </cell>
        </row>
        <row r="1263">
          <cell r="B1263">
            <v>100500030</v>
          </cell>
          <cell r="C1263">
            <v>1005</v>
          </cell>
          <cell r="D1263" t="str">
            <v>MsNinho 500 ml</v>
          </cell>
          <cell r="E1263">
            <v>5.4388736866666676</v>
          </cell>
          <cell r="F1263">
            <v>19.564293836930457</v>
          </cell>
          <cell r="G1263">
            <v>22.311059809390311</v>
          </cell>
          <cell r="H1263">
            <v>216000016</v>
          </cell>
          <cell r="I1263" t="str">
            <v>Leite Integral</v>
          </cell>
          <cell r="J1263">
            <v>0.2</v>
          </cell>
          <cell r="K1263">
            <v>0.05</v>
          </cell>
          <cell r="L1263" t="str">
            <v>Lt</v>
          </cell>
          <cell r="M1263">
            <v>4</v>
          </cell>
        </row>
        <row r="1264">
          <cell r="H1264">
            <v>210100001</v>
          </cell>
          <cell r="I1264" t="str">
            <v>Bebida Láctea Uht (Baunilha)</v>
          </cell>
          <cell r="J1264">
            <v>3.0774265199999999</v>
          </cell>
          <cell r="K1264">
            <v>0.28199999999999997</v>
          </cell>
          <cell r="L1264" t="str">
            <v>Lt</v>
          </cell>
          <cell r="M1264">
            <v>10.91286</v>
          </cell>
        </row>
        <row r="1265">
          <cell r="H1265">
            <v>216000017</v>
          </cell>
          <cell r="I1265" t="str">
            <v>Leite em Pó Ninho</v>
          </cell>
          <cell r="J1265">
            <v>1.2378666666666669</v>
          </cell>
          <cell r="K1265">
            <v>0.02</v>
          </cell>
          <cell r="L1265" t="str">
            <v>Kg</v>
          </cell>
          <cell r="M1265">
            <v>61.893333333333338</v>
          </cell>
        </row>
        <row r="1266">
          <cell r="H1266">
            <v>210200027</v>
          </cell>
          <cell r="I1266" t="str">
            <v>Copo 550 Ml  Milk Shake</v>
          </cell>
          <cell r="J1266">
            <v>0.44045820000000002</v>
          </cell>
          <cell r="K1266">
            <v>1</v>
          </cell>
          <cell r="L1266" t="str">
            <v>Un</v>
          </cell>
          <cell r="M1266">
            <v>0.44045820000000002</v>
          </cell>
        </row>
        <row r="1267">
          <cell r="H1267">
            <v>210200023</v>
          </cell>
          <cell r="I1267" t="str">
            <v>Tampa 440/550 Ml Milk Shake</v>
          </cell>
          <cell r="J1267">
            <v>0.28471500000000005</v>
          </cell>
          <cell r="K1267">
            <v>1</v>
          </cell>
          <cell r="L1267" t="str">
            <v>Un</v>
          </cell>
          <cell r="M1267">
            <v>0.28471500000000005</v>
          </cell>
        </row>
        <row r="1268">
          <cell r="H1268">
            <v>220100008</v>
          </cell>
          <cell r="I1268" t="str">
            <v>Guardanapo Embalado</v>
          </cell>
          <cell r="J1268">
            <v>7.1500000000000008E-2</v>
          </cell>
          <cell r="K1268">
            <v>1</v>
          </cell>
          <cell r="L1268" t="str">
            <v>Un</v>
          </cell>
          <cell r="M1268">
            <v>7.1500000000000008E-2</v>
          </cell>
        </row>
        <row r="1269">
          <cell r="H1269">
            <v>210200021</v>
          </cell>
          <cell r="I1269" t="str">
            <v>Canudo para Milk Shake 10 mm</v>
          </cell>
          <cell r="J1269">
            <v>0.12690729999999997</v>
          </cell>
          <cell r="K1269">
            <v>1</v>
          </cell>
          <cell r="L1269" t="str">
            <v>Un</v>
          </cell>
          <cell r="M1269">
            <v>0.12690729999999997</v>
          </cell>
        </row>
        <row r="1270">
          <cell r="B1270">
            <v>100500037</v>
          </cell>
          <cell r="C1270">
            <v>1005</v>
          </cell>
          <cell r="D1270" t="str">
            <v>MsNutella 500 ml</v>
          </cell>
          <cell r="E1270">
            <v>8.0063690200000011</v>
          </cell>
          <cell r="F1270">
            <v>28.799888561151079</v>
          </cell>
          <cell r="G1270">
            <v>31.166971648613341</v>
          </cell>
          <cell r="H1270">
            <v>210100002</v>
          </cell>
          <cell r="I1270" t="str">
            <v>Bebida Láctea Uht (Chocolate)</v>
          </cell>
          <cell r="J1270">
            <v>1.53871326</v>
          </cell>
          <cell r="K1270">
            <v>0.14099999999999999</v>
          </cell>
          <cell r="L1270" t="str">
            <v>Lt</v>
          </cell>
          <cell r="M1270">
            <v>10.91286</v>
          </cell>
        </row>
        <row r="1271">
          <cell r="H1271">
            <v>210100001</v>
          </cell>
          <cell r="I1271" t="str">
            <v>Bebida Láctea Uht (Baunilha)</v>
          </cell>
          <cell r="J1271">
            <v>1.53871326</v>
          </cell>
          <cell r="K1271">
            <v>0.14099999999999999</v>
          </cell>
          <cell r="L1271" t="str">
            <v>Lt</v>
          </cell>
          <cell r="M1271">
            <v>10.91286</v>
          </cell>
        </row>
        <row r="1272">
          <cell r="H1272">
            <v>216000050</v>
          </cell>
          <cell r="I1272" t="str">
            <v>Nutella</v>
          </cell>
          <cell r="J1272">
            <v>3.8053620000000001</v>
          </cell>
          <cell r="K1272">
            <v>5.3999999999999999E-2</v>
          </cell>
          <cell r="L1272" t="str">
            <v>Kg</v>
          </cell>
          <cell r="M1272">
            <v>70.469666666666669</v>
          </cell>
        </row>
        <row r="1273">
          <cell r="H1273">
            <v>216000016</v>
          </cell>
          <cell r="I1273" t="str">
            <v>Leite Integral</v>
          </cell>
          <cell r="J1273">
            <v>0.2</v>
          </cell>
          <cell r="K1273">
            <v>0.05</v>
          </cell>
          <cell r="L1273" t="str">
            <v>Lt</v>
          </cell>
          <cell r="M1273">
            <v>4</v>
          </cell>
        </row>
        <row r="1274">
          <cell r="H1274">
            <v>210200027</v>
          </cell>
          <cell r="I1274" t="str">
            <v>Copo 550 Ml  Milk Shake</v>
          </cell>
          <cell r="J1274">
            <v>0.44045820000000002</v>
          </cell>
          <cell r="K1274">
            <v>1</v>
          </cell>
          <cell r="L1274" t="str">
            <v>Un</v>
          </cell>
          <cell r="M1274">
            <v>0.44045820000000002</v>
          </cell>
        </row>
        <row r="1275">
          <cell r="H1275">
            <v>210200023</v>
          </cell>
          <cell r="I1275" t="str">
            <v>Tampa 440/550 Ml Milk Shake</v>
          </cell>
          <cell r="J1275">
            <v>0.28471500000000005</v>
          </cell>
          <cell r="K1275">
            <v>1</v>
          </cell>
          <cell r="L1275" t="str">
            <v>Un</v>
          </cell>
          <cell r="M1275">
            <v>0.28471500000000005</v>
          </cell>
        </row>
        <row r="1276">
          <cell r="H1276">
            <v>220100008</v>
          </cell>
          <cell r="I1276" t="str">
            <v>Guardanapo Embalado</v>
          </cell>
          <cell r="J1276">
            <v>7.1500000000000008E-2</v>
          </cell>
          <cell r="K1276">
            <v>1</v>
          </cell>
          <cell r="L1276" t="str">
            <v>Un</v>
          </cell>
          <cell r="M1276">
            <v>7.1500000000000008E-2</v>
          </cell>
        </row>
        <row r="1277">
          <cell r="H1277">
            <v>210200021</v>
          </cell>
          <cell r="I1277" t="str">
            <v>Canudo para Milk Shake 10 mm</v>
          </cell>
          <cell r="J1277">
            <v>0.12690729999999997</v>
          </cell>
          <cell r="K1277">
            <v>1</v>
          </cell>
          <cell r="L1277" t="str">
            <v>Un</v>
          </cell>
          <cell r="M1277">
            <v>0.12690729999999997</v>
          </cell>
        </row>
        <row r="1278">
          <cell r="B1278">
            <v>100500038</v>
          </cell>
          <cell r="C1278">
            <v>1005</v>
          </cell>
          <cell r="D1278" t="str">
            <v>MsChocotino 500 ml</v>
          </cell>
          <cell r="E1278">
            <v>5.5956310200000008</v>
          </cell>
          <cell r="F1278">
            <v>20.128169136690648</v>
          </cell>
          <cell r="G1278">
            <v>22.851753732424395</v>
          </cell>
          <cell r="H1278">
            <v>216000016</v>
          </cell>
          <cell r="I1278" t="str">
            <v>Leite Integral</v>
          </cell>
          <cell r="J1278">
            <v>0.2</v>
          </cell>
          <cell r="K1278">
            <v>0.05</v>
          </cell>
          <cell r="L1278" t="str">
            <v>Kg</v>
          </cell>
          <cell r="M1278">
            <v>4</v>
          </cell>
        </row>
        <row r="1279">
          <cell r="H1279">
            <v>210100001</v>
          </cell>
          <cell r="I1279" t="str">
            <v>Bebida Láctea Uht (Baunilha)</v>
          </cell>
          <cell r="J1279">
            <v>3.0774265199999999</v>
          </cell>
          <cell r="K1279">
            <v>0.28199999999999997</v>
          </cell>
          <cell r="L1279" t="str">
            <v>Lt</v>
          </cell>
          <cell r="M1279">
            <v>10.91286</v>
          </cell>
        </row>
        <row r="1280">
          <cell r="H1280">
            <v>210900004</v>
          </cell>
          <cell r="I1280" t="str">
            <v>Ovomaltine</v>
          </cell>
          <cell r="J1280">
            <v>1.3946239999999999</v>
          </cell>
          <cell r="K1280">
            <v>3.5999999999999997E-2</v>
          </cell>
          <cell r="L1280" t="str">
            <v>Kg</v>
          </cell>
          <cell r="M1280">
            <v>38.739555555555555</v>
          </cell>
        </row>
        <row r="1281">
          <cell r="H1281">
            <v>210200027</v>
          </cell>
          <cell r="I1281" t="str">
            <v>Copo 550 Ml  Milk Shake</v>
          </cell>
          <cell r="J1281">
            <v>0.44045820000000002</v>
          </cell>
          <cell r="K1281">
            <v>1</v>
          </cell>
          <cell r="L1281" t="str">
            <v>Un</v>
          </cell>
          <cell r="M1281">
            <v>0.44045820000000002</v>
          </cell>
        </row>
        <row r="1282">
          <cell r="H1282">
            <v>210200023</v>
          </cell>
          <cell r="I1282" t="str">
            <v>Tampa 440/550 Ml Milk Shake</v>
          </cell>
          <cell r="J1282">
            <v>0.28471500000000005</v>
          </cell>
          <cell r="K1282">
            <v>1</v>
          </cell>
          <cell r="L1282" t="str">
            <v>Un</v>
          </cell>
          <cell r="M1282">
            <v>0.28471500000000005</v>
          </cell>
        </row>
        <row r="1283">
          <cell r="H1283">
            <v>220100008</v>
          </cell>
          <cell r="I1283" t="str">
            <v>Guardanapo Embalado</v>
          </cell>
          <cell r="J1283">
            <v>7.1500000000000008E-2</v>
          </cell>
          <cell r="K1283">
            <v>1</v>
          </cell>
          <cell r="L1283" t="str">
            <v>Un</v>
          </cell>
          <cell r="M1283">
            <v>7.1500000000000008E-2</v>
          </cell>
        </row>
        <row r="1284">
          <cell r="H1284">
            <v>210200021</v>
          </cell>
          <cell r="I1284" t="str">
            <v>Canudo para Milk Shake 10 mm</v>
          </cell>
          <cell r="J1284">
            <v>0.12690729999999997</v>
          </cell>
          <cell r="K1284">
            <v>1</v>
          </cell>
          <cell r="L1284" t="str">
            <v>Un</v>
          </cell>
          <cell r="M1284">
            <v>0.12690729999999997</v>
          </cell>
        </row>
        <row r="1285">
          <cell r="B1285">
            <v>100500045</v>
          </cell>
          <cell r="C1285">
            <v>1005</v>
          </cell>
          <cell r="D1285" t="str">
            <v>MsTrufado 500 ml</v>
          </cell>
          <cell r="E1285">
            <v>6.2067213057142858</v>
          </cell>
          <cell r="F1285">
            <v>22.326335632065774</v>
          </cell>
          <cell r="G1285">
            <v>24.959551797656058</v>
          </cell>
          <cell r="H1285">
            <v>210100002</v>
          </cell>
          <cell r="I1285" t="str">
            <v>Bebida Láctea Uht (Chocolate)</v>
          </cell>
          <cell r="J1285">
            <v>3.0774265199999999</v>
          </cell>
          <cell r="K1285">
            <v>0.28199999999999997</v>
          </cell>
          <cell r="L1285" t="str">
            <v>Lt</v>
          </cell>
          <cell r="M1285">
            <v>10.91286</v>
          </cell>
        </row>
        <row r="1286">
          <cell r="H1286">
            <v>210900018</v>
          </cell>
          <cell r="I1286" t="str">
            <v>Trufada Chiquinho</v>
          </cell>
          <cell r="J1286">
            <v>2.0057142857142853</v>
          </cell>
          <cell r="K1286">
            <v>4.4999999999999998E-2</v>
          </cell>
          <cell r="L1286" t="str">
            <v>Kg</v>
          </cell>
          <cell r="M1286">
            <v>44.571428571428569</v>
          </cell>
        </row>
        <row r="1287">
          <cell r="H1287">
            <v>216000016</v>
          </cell>
          <cell r="I1287" t="str">
            <v>Leite Integral</v>
          </cell>
          <cell r="J1287">
            <v>0.2</v>
          </cell>
          <cell r="K1287">
            <v>0.05</v>
          </cell>
          <cell r="L1287" t="str">
            <v>Lt</v>
          </cell>
          <cell r="M1287">
            <v>4</v>
          </cell>
        </row>
        <row r="1288">
          <cell r="H1288">
            <v>210200027</v>
          </cell>
          <cell r="I1288" t="str">
            <v>Copo 550 Ml  Milk Shake</v>
          </cell>
          <cell r="J1288">
            <v>0.44045820000000002</v>
          </cell>
          <cell r="K1288">
            <v>1</v>
          </cell>
          <cell r="L1288" t="str">
            <v>Un</v>
          </cell>
          <cell r="M1288">
            <v>0.44045820000000002</v>
          </cell>
        </row>
        <row r="1289">
          <cell r="H1289">
            <v>210200023</v>
          </cell>
          <cell r="I1289" t="str">
            <v>Tampa 440/550 Ml Milk Shake</v>
          </cell>
          <cell r="J1289">
            <v>0.28471500000000005</v>
          </cell>
          <cell r="K1289">
            <v>1</v>
          </cell>
          <cell r="L1289" t="str">
            <v>Un</v>
          </cell>
          <cell r="M1289">
            <v>0.28471500000000005</v>
          </cell>
        </row>
        <row r="1290">
          <cell r="H1290">
            <v>220100008</v>
          </cell>
          <cell r="I1290" t="str">
            <v>Guardanapo Embalado</v>
          </cell>
          <cell r="J1290">
            <v>7.1500000000000008E-2</v>
          </cell>
          <cell r="K1290">
            <v>1</v>
          </cell>
          <cell r="L1290" t="str">
            <v>Un</v>
          </cell>
          <cell r="M1290">
            <v>7.1500000000000008E-2</v>
          </cell>
        </row>
        <row r="1291">
          <cell r="H1291">
            <v>210200021</v>
          </cell>
          <cell r="I1291" t="str">
            <v>Canudo para Milk Shake 10 mm</v>
          </cell>
          <cell r="J1291">
            <v>0.12690729999999997</v>
          </cell>
          <cell r="K1291">
            <v>1</v>
          </cell>
          <cell r="L1291" t="str">
            <v>Un</v>
          </cell>
          <cell r="M1291">
            <v>0.12690729999999997</v>
          </cell>
        </row>
        <row r="1292">
          <cell r="B1292">
            <v>100500048</v>
          </cell>
          <cell r="C1292">
            <v>1005</v>
          </cell>
          <cell r="D1292" t="str">
            <v>MSCappuccino Chocolat 500 ml</v>
          </cell>
          <cell r="E1292">
            <v>7.1608470200000012</v>
          </cell>
          <cell r="F1292">
            <v>25.758442517985614</v>
          </cell>
          <cell r="G1292">
            <v>28.250561950449576</v>
          </cell>
          <cell r="H1292">
            <v>216000016</v>
          </cell>
          <cell r="I1292" t="str">
            <v>Leite Integral</v>
          </cell>
          <cell r="J1292">
            <v>0.2</v>
          </cell>
          <cell r="K1292">
            <v>0.05</v>
          </cell>
          <cell r="L1292" t="str">
            <v>Lt</v>
          </cell>
          <cell r="M1292">
            <v>4</v>
          </cell>
        </row>
        <row r="1293">
          <cell r="H1293">
            <v>210100001</v>
          </cell>
          <cell r="I1293" t="str">
            <v>Bebida Láctea Uht (Baunilha)</v>
          </cell>
          <cell r="J1293">
            <v>3.0774265199999999</v>
          </cell>
          <cell r="K1293">
            <v>0.28199999999999997</v>
          </cell>
          <cell r="L1293" t="str">
            <v>Lt</v>
          </cell>
          <cell r="M1293">
            <v>10.91286</v>
          </cell>
        </row>
        <row r="1294">
          <cell r="H1294">
            <v>216000023</v>
          </cell>
          <cell r="I1294" t="str">
            <v>Cappuccino</v>
          </cell>
          <cell r="J1294">
            <v>1.72601</v>
          </cell>
          <cell r="K1294">
            <v>2.5999999999999999E-2</v>
          </cell>
          <cell r="L1294" t="str">
            <v>Kg</v>
          </cell>
          <cell r="M1294">
            <v>66.385000000000005</v>
          </cell>
        </row>
        <row r="1295">
          <cell r="H1295">
            <v>210900005</v>
          </cell>
          <cell r="I1295" t="str">
            <v>Stracciatella Meio Amarga</v>
          </cell>
          <cell r="J1295">
            <v>1.23383</v>
          </cell>
          <cell r="K1295">
            <v>0.04</v>
          </cell>
          <cell r="L1295" t="str">
            <v>Kg</v>
          </cell>
          <cell r="M1295">
            <v>30.845749999999999</v>
          </cell>
        </row>
        <row r="1296">
          <cell r="H1296">
            <v>210200027</v>
          </cell>
          <cell r="I1296" t="str">
            <v>Copo 550 Ml  Milk Shake</v>
          </cell>
          <cell r="J1296">
            <v>0.44045820000000002</v>
          </cell>
          <cell r="K1296">
            <v>1</v>
          </cell>
          <cell r="L1296" t="str">
            <v>Un</v>
          </cell>
          <cell r="M1296">
            <v>0.44045820000000002</v>
          </cell>
        </row>
        <row r="1297">
          <cell r="H1297">
            <v>210200023</v>
          </cell>
          <cell r="I1297" t="str">
            <v>Tampa 440/550 Ml Milk Shake</v>
          </cell>
          <cell r="J1297">
            <v>0.28471500000000005</v>
          </cell>
          <cell r="K1297">
            <v>1</v>
          </cell>
          <cell r="L1297" t="str">
            <v>Un</v>
          </cell>
          <cell r="M1297">
            <v>0.28471500000000005</v>
          </cell>
        </row>
        <row r="1298">
          <cell r="H1298">
            <v>220100008</v>
          </cell>
          <cell r="I1298" t="str">
            <v>Guardanapo Embalado</v>
          </cell>
          <cell r="J1298">
            <v>7.1500000000000008E-2</v>
          </cell>
          <cell r="K1298">
            <v>1</v>
          </cell>
          <cell r="L1298" t="str">
            <v>Un</v>
          </cell>
          <cell r="M1298">
            <v>7.1500000000000008E-2</v>
          </cell>
        </row>
        <row r="1299">
          <cell r="H1299">
            <v>210200021</v>
          </cell>
          <cell r="I1299" t="str">
            <v>Canudo para Milk Shake 10 mm</v>
          </cell>
          <cell r="J1299">
            <v>0.12690729999999997</v>
          </cell>
          <cell r="K1299">
            <v>1</v>
          </cell>
          <cell r="L1299" t="str">
            <v>Un</v>
          </cell>
          <cell r="M1299">
            <v>0.12690729999999997</v>
          </cell>
        </row>
        <row r="1300">
          <cell r="B1300">
            <v>100500052</v>
          </cell>
          <cell r="C1300">
            <v>1005</v>
          </cell>
          <cell r="D1300" t="str">
            <v>MsLimão com Leite moça 500 ml</v>
          </cell>
          <cell r="E1300">
            <v>5.4606601845569624</v>
          </cell>
          <cell r="F1300">
            <v>19.64266253437756</v>
          </cell>
          <cell r="G1300">
            <v>22.386206705315292</v>
          </cell>
          <cell r="H1300">
            <v>216000056</v>
          </cell>
          <cell r="I1300" t="str">
            <v>Limão-taiti</v>
          </cell>
          <cell r="J1300">
            <v>0.42000000000000004</v>
          </cell>
          <cell r="K1300">
            <v>0.14000000000000001</v>
          </cell>
          <cell r="L1300" t="str">
            <v>kg</v>
          </cell>
          <cell r="M1300">
            <v>3</v>
          </cell>
        </row>
        <row r="1301">
          <cell r="H1301">
            <v>210100001</v>
          </cell>
          <cell r="I1301" t="str">
            <v>Bebida Láctea Uht (Baunilha)</v>
          </cell>
          <cell r="J1301">
            <v>3.0774265199999999</v>
          </cell>
          <cell r="K1301">
            <v>0.28199999999999997</v>
          </cell>
          <cell r="L1301" t="str">
            <v>Lt</v>
          </cell>
          <cell r="M1301">
            <v>10.91286</v>
          </cell>
        </row>
        <row r="1302">
          <cell r="H1302">
            <v>216000013</v>
          </cell>
          <cell r="I1302" t="str">
            <v>Leite Condensado</v>
          </cell>
          <cell r="J1302">
            <v>1.039653164556962</v>
          </cell>
          <cell r="K1302">
            <v>3.6999999999999998E-2</v>
          </cell>
          <cell r="L1302" t="str">
            <v>Un</v>
          </cell>
          <cell r="M1302">
            <v>28.098734177215189</v>
          </cell>
        </row>
        <row r="1303">
          <cell r="H1303">
            <v>210200027</v>
          </cell>
          <cell r="I1303" t="str">
            <v>Copo 550 Ml  Milk Shake</v>
          </cell>
          <cell r="J1303">
            <v>0.44045820000000002</v>
          </cell>
          <cell r="K1303">
            <v>1</v>
          </cell>
          <cell r="L1303" t="str">
            <v>Un</v>
          </cell>
          <cell r="M1303">
            <v>0.44045820000000002</v>
          </cell>
        </row>
        <row r="1304">
          <cell r="H1304">
            <v>210200023</v>
          </cell>
          <cell r="I1304" t="str">
            <v>Tampa 440/550 Ml Milk Shake</v>
          </cell>
          <cell r="J1304">
            <v>0.28471500000000005</v>
          </cell>
          <cell r="K1304">
            <v>1</v>
          </cell>
          <cell r="L1304" t="str">
            <v>Un</v>
          </cell>
          <cell r="M1304">
            <v>0.28471500000000005</v>
          </cell>
        </row>
        <row r="1305">
          <cell r="H1305">
            <v>220100008</v>
          </cell>
          <cell r="I1305" t="str">
            <v>Guardanapo Embalado</v>
          </cell>
          <cell r="J1305">
            <v>7.1500000000000008E-2</v>
          </cell>
          <cell r="K1305">
            <v>1</v>
          </cell>
          <cell r="L1305" t="str">
            <v>Un</v>
          </cell>
          <cell r="M1305">
            <v>7.1500000000000008E-2</v>
          </cell>
        </row>
        <row r="1306">
          <cell r="H1306">
            <v>210200021</v>
          </cell>
          <cell r="I1306" t="str">
            <v>Canudo para Milk Shake 10 mm</v>
          </cell>
          <cell r="J1306">
            <v>0.12690729999999997</v>
          </cell>
          <cell r="K1306">
            <v>1</v>
          </cell>
          <cell r="L1306" t="str">
            <v>Un</v>
          </cell>
          <cell r="M1306">
            <v>0.12690729999999997</v>
          </cell>
        </row>
        <row r="1307">
          <cell r="B1307">
            <v>100500054</v>
          </cell>
          <cell r="C1307">
            <v>1005</v>
          </cell>
          <cell r="D1307" t="str">
            <v>MsMousse de Maracujá 500 ml</v>
          </cell>
          <cell r="E1307">
            <v>6.3942333592857148</v>
          </cell>
          <cell r="F1307">
            <v>23.000839421891058</v>
          </cell>
          <cell r="G1307">
            <v>25.606326182661199</v>
          </cell>
          <cell r="H1307">
            <v>216000016</v>
          </cell>
          <cell r="I1307" t="str">
            <v>Leite Integral</v>
          </cell>
          <cell r="J1307">
            <v>0.2</v>
          </cell>
          <cell r="K1307">
            <v>0.05</v>
          </cell>
          <cell r="L1307" t="str">
            <v>Lt</v>
          </cell>
          <cell r="M1307">
            <v>4</v>
          </cell>
        </row>
        <row r="1308">
          <cell r="H1308">
            <v>210100001</v>
          </cell>
          <cell r="I1308" t="str">
            <v>Bebida Láctea Uht (Baunilha)</v>
          </cell>
          <cell r="J1308">
            <v>3.0774265199999999</v>
          </cell>
          <cell r="K1308">
            <v>0.28199999999999997</v>
          </cell>
          <cell r="L1308" t="str">
            <v>Lt</v>
          </cell>
          <cell r="M1308">
            <v>10.91286</v>
          </cell>
        </row>
        <row r="1309">
          <cell r="H1309">
            <v>216000015</v>
          </cell>
          <cell r="I1309" t="str">
            <v>Doce de leite</v>
          </cell>
          <cell r="J1309">
            <v>0.98144062500000007</v>
          </cell>
          <cell r="K1309">
            <v>4.4999999999999998E-2</v>
          </cell>
          <cell r="L1309" t="str">
            <v>Un</v>
          </cell>
          <cell r="M1309">
            <v>21.809791666666669</v>
          </cell>
        </row>
        <row r="1310">
          <cell r="H1310">
            <v>210200027</v>
          </cell>
          <cell r="I1310" t="str">
            <v>Copo 550 Ml  Milk Shake</v>
          </cell>
          <cell r="J1310">
            <v>0.44045820000000002</v>
          </cell>
          <cell r="K1310">
            <v>1</v>
          </cell>
          <cell r="L1310" t="str">
            <v>Un</v>
          </cell>
          <cell r="M1310">
            <v>0.44045820000000002</v>
          </cell>
        </row>
        <row r="1311">
          <cell r="H1311">
            <v>210400015</v>
          </cell>
          <cell r="I1311" t="str">
            <v>Mescla de maracujá</v>
          </cell>
          <cell r="J1311">
            <v>1.2117857142857142</v>
          </cell>
          <cell r="K1311">
            <v>4.4999999999999998E-2</v>
          </cell>
          <cell r="L1311" t="str">
            <v>kg</v>
          </cell>
          <cell r="M1311">
            <v>26.928571428571431</v>
          </cell>
        </row>
        <row r="1312">
          <cell r="H1312">
            <v>210200023</v>
          </cell>
          <cell r="I1312" t="str">
            <v>Tampa 440/550 Ml Milk Shake</v>
          </cell>
          <cell r="J1312">
            <v>0.28471500000000005</v>
          </cell>
          <cell r="K1312">
            <v>1</v>
          </cell>
          <cell r="L1312" t="str">
            <v>Un</v>
          </cell>
          <cell r="M1312">
            <v>0.28471500000000005</v>
          </cell>
        </row>
        <row r="1313">
          <cell r="H1313">
            <v>220100008</v>
          </cell>
          <cell r="I1313" t="str">
            <v>Guardanapo Embalado</v>
          </cell>
          <cell r="J1313">
            <v>7.1500000000000008E-2</v>
          </cell>
          <cell r="K1313">
            <v>1</v>
          </cell>
          <cell r="L1313" t="str">
            <v>Un</v>
          </cell>
          <cell r="M1313">
            <v>7.1500000000000008E-2</v>
          </cell>
        </row>
        <row r="1314">
          <cell r="H1314">
            <v>210200021</v>
          </cell>
          <cell r="I1314" t="str">
            <v>Canudo para Milk Shake 10 mm</v>
          </cell>
          <cell r="J1314">
            <v>0.12690729999999997</v>
          </cell>
          <cell r="K1314">
            <v>1</v>
          </cell>
          <cell r="L1314" t="str">
            <v>Un</v>
          </cell>
          <cell r="M1314">
            <v>0.12690729999999997</v>
          </cell>
        </row>
        <row r="1315">
          <cell r="B1315">
            <v>100500055</v>
          </cell>
          <cell r="C1315">
            <v>1005</v>
          </cell>
          <cell r="D1315" t="str">
            <v>MsFarinha Láctea e Banana 500 ml</v>
          </cell>
          <cell r="E1315">
            <v>5.3232770200000008</v>
          </cell>
          <cell r="F1315">
            <v>19.148478489208635</v>
          </cell>
          <cell r="G1315">
            <v>21.912338972153591</v>
          </cell>
          <cell r="H1315">
            <v>216000065</v>
          </cell>
          <cell r="I1315" t="str">
            <v>Farinha Láctea</v>
          </cell>
          <cell r="J1315">
            <v>0.90332000000000012</v>
          </cell>
          <cell r="K1315">
            <v>2.4E-2</v>
          </cell>
          <cell r="L1315" t="str">
            <v>Lt</v>
          </cell>
          <cell r="M1315">
            <v>37.638333333333335</v>
          </cell>
        </row>
        <row r="1316">
          <cell r="H1316">
            <v>210100001</v>
          </cell>
          <cell r="I1316" t="str">
            <v>Bebida Láctea Uht (Baunilha)</v>
          </cell>
          <cell r="J1316">
            <v>3.0774265199999999</v>
          </cell>
          <cell r="K1316">
            <v>0.28199999999999997</v>
          </cell>
          <cell r="L1316" t="str">
            <v>Lt</v>
          </cell>
          <cell r="M1316">
            <v>10.91286</v>
          </cell>
        </row>
        <row r="1317">
          <cell r="H1317">
            <v>216000018</v>
          </cell>
          <cell r="I1317" t="str">
            <v>Banana Nanica</v>
          </cell>
          <cell r="J1317">
            <v>0.41894999999999999</v>
          </cell>
          <cell r="K1317">
            <v>0.105</v>
          </cell>
          <cell r="L1317" t="str">
            <v>Un</v>
          </cell>
          <cell r="M1317">
            <v>3.99</v>
          </cell>
        </row>
        <row r="1318">
          <cell r="H1318">
            <v>210200027</v>
          </cell>
          <cell r="I1318" t="str">
            <v>Copo 550 Ml  Milk Shake</v>
          </cell>
          <cell r="J1318">
            <v>0.44045820000000002</v>
          </cell>
          <cell r="K1318">
            <v>1</v>
          </cell>
          <cell r="L1318" t="str">
            <v>Un</v>
          </cell>
          <cell r="M1318">
            <v>0.44045820000000002</v>
          </cell>
        </row>
        <row r="1319">
          <cell r="H1319">
            <v>210200023</v>
          </cell>
          <cell r="I1319" t="str">
            <v>Tampa 440/550 Ml Milk Shake</v>
          </cell>
          <cell r="J1319">
            <v>0.28471500000000005</v>
          </cell>
          <cell r="K1319">
            <v>1</v>
          </cell>
          <cell r="L1319" t="str">
            <v>Un</v>
          </cell>
          <cell r="M1319">
            <v>0.28471500000000005</v>
          </cell>
        </row>
        <row r="1320">
          <cell r="H1320">
            <v>220100008</v>
          </cell>
          <cell r="I1320" t="str">
            <v>Guardanapo Embalado</v>
          </cell>
          <cell r="J1320">
            <v>7.1500000000000008E-2</v>
          </cell>
          <cell r="K1320">
            <v>1</v>
          </cell>
          <cell r="L1320" t="str">
            <v>Un</v>
          </cell>
          <cell r="M1320">
            <v>7.1500000000000008E-2</v>
          </cell>
        </row>
        <row r="1321">
          <cell r="H1321">
            <v>210200021</v>
          </cell>
          <cell r="I1321" t="str">
            <v>Canudo para Milk Shake 10 mm</v>
          </cell>
          <cell r="J1321">
            <v>0.12690729999999997</v>
          </cell>
          <cell r="K1321">
            <v>1</v>
          </cell>
          <cell r="L1321" t="str">
            <v>Un</v>
          </cell>
          <cell r="M1321">
            <v>0.12690729999999997</v>
          </cell>
        </row>
        <row r="1322">
          <cell r="B1322">
            <v>100500056</v>
          </cell>
          <cell r="C1322">
            <v>1003</v>
          </cell>
          <cell r="D1322" t="str">
            <v>MsPink Limonade 500 ml</v>
          </cell>
          <cell r="E1322">
            <v>6.6640213057142867</v>
          </cell>
          <cell r="F1322">
            <v>23.971299660842757</v>
          </cell>
          <cell r="G1322">
            <v>26.536890004077996</v>
          </cell>
          <cell r="H1322">
            <v>210100001</v>
          </cell>
          <cell r="I1322" t="str">
            <v>Bebida Láctea Uht (Baunilha)</v>
          </cell>
          <cell r="J1322">
            <v>3.0774265199999999</v>
          </cell>
          <cell r="K1322">
            <v>0.28199999999999997</v>
          </cell>
          <cell r="L1322" t="str">
            <v>Kg</v>
          </cell>
          <cell r="M1322">
            <v>10.91286</v>
          </cell>
        </row>
        <row r="1323">
          <cell r="H1323">
            <v>216000056</v>
          </cell>
          <cell r="I1323" t="str">
            <v>Limão-taiti</v>
          </cell>
          <cell r="J1323">
            <v>0.24780000000000002</v>
          </cell>
          <cell r="K1323">
            <v>8.2600000000000007E-2</v>
          </cell>
          <cell r="L1323" t="str">
            <v>Lt</v>
          </cell>
          <cell r="M1323">
            <v>3</v>
          </cell>
        </row>
        <row r="1324">
          <cell r="H1324">
            <v>210400016</v>
          </cell>
          <cell r="I1324" t="str">
            <v>Mescla de Morango</v>
          </cell>
          <cell r="J1324">
            <v>2.4152142857142853</v>
          </cell>
          <cell r="K1324">
            <v>7.4999999999999997E-2</v>
          </cell>
          <cell r="L1324" t="str">
            <v>kg</v>
          </cell>
          <cell r="M1324">
            <v>32.202857142857141</v>
          </cell>
        </row>
        <row r="1325">
          <cell r="H1325">
            <v>220100008</v>
          </cell>
          <cell r="I1325" t="str">
            <v>Guardanapo Embalado</v>
          </cell>
          <cell r="J1325">
            <v>7.1500000000000008E-2</v>
          </cell>
          <cell r="K1325">
            <v>1</v>
          </cell>
          <cell r="L1325" t="str">
            <v>Un</v>
          </cell>
          <cell r="M1325">
            <v>7.1500000000000008E-2</v>
          </cell>
        </row>
        <row r="1326">
          <cell r="H1326">
            <v>210200023</v>
          </cell>
          <cell r="I1326" t="str">
            <v>Tampa 440/550 Ml Milk Shake</v>
          </cell>
          <cell r="J1326">
            <v>0.28471500000000005</v>
          </cell>
          <cell r="K1326">
            <v>1</v>
          </cell>
          <cell r="L1326" t="str">
            <v>Un</v>
          </cell>
          <cell r="M1326">
            <v>0.28471500000000005</v>
          </cell>
        </row>
        <row r="1327">
          <cell r="H1327">
            <v>210200021</v>
          </cell>
          <cell r="I1327" t="str">
            <v>Canudo para Milk Shake 10 mm</v>
          </cell>
          <cell r="J1327">
            <v>0.12690729999999997</v>
          </cell>
          <cell r="K1327">
            <v>1</v>
          </cell>
          <cell r="L1327" t="str">
            <v>Un</v>
          </cell>
          <cell r="M1327">
            <v>0.12690729999999997</v>
          </cell>
        </row>
        <row r="1328">
          <cell r="H1328">
            <v>210200027</v>
          </cell>
          <cell r="I1328" t="str">
            <v>Copo 550 Ml  Milk Shake</v>
          </cell>
          <cell r="J1328">
            <v>0.44045820000000002</v>
          </cell>
          <cell r="K1328">
            <v>1</v>
          </cell>
          <cell r="L1328" t="str">
            <v>Un</v>
          </cell>
          <cell r="M1328">
            <v>0.44045820000000002</v>
          </cell>
        </row>
        <row r="1329">
          <cell r="B1329">
            <v>100500057</v>
          </cell>
          <cell r="C1329">
            <v>1003</v>
          </cell>
          <cell r="D1329" t="str">
            <v>MsNapolitano 500 ml</v>
          </cell>
          <cell r="E1329">
            <v>8.6048751152380945</v>
          </cell>
          <cell r="F1329">
            <v>30.952788184309689</v>
          </cell>
          <cell r="G1329">
            <v>33.231363799926378</v>
          </cell>
          <cell r="H1329">
            <v>210100007</v>
          </cell>
          <cell r="I1329" t="str">
            <v>Bebida Láctea UHT Sabores</v>
          </cell>
          <cell r="J1329">
            <v>3.0774265199999999</v>
          </cell>
          <cell r="K1329">
            <v>0.28199999999999997</v>
          </cell>
          <cell r="L1329" t="str">
            <v>Kg</v>
          </cell>
          <cell r="M1329">
            <v>10.91286</v>
          </cell>
        </row>
        <row r="1330">
          <cell r="H1330">
            <v>216000016</v>
          </cell>
          <cell r="I1330" t="str">
            <v>Leite Integral</v>
          </cell>
          <cell r="J1330">
            <v>0.2</v>
          </cell>
          <cell r="K1330">
            <v>0.05</v>
          </cell>
          <cell r="L1330" t="str">
            <v>Lt</v>
          </cell>
          <cell r="M1330">
            <v>4</v>
          </cell>
        </row>
        <row r="1331">
          <cell r="H1331">
            <v>210400016</v>
          </cell>
          <cell r="I1331" t="str">
            <v>Mescla de Morango</v>
          </cell>
          <cell r="J1331">
            <v>1.9321714285714284</v>
          </cell>
          <cell r="K1331">
            <v>0.06</v>
          </cell>
          <cell r="L1331" t="str">
            <v>kg</v>
          </cell>
          <cell r="M1331">
            <v>32.202857142857141</v>
          </cell>
        </row>
        <row r="1332">
          <cell r="H1332">
            <v>210900005</v>
          </cell>
          <cell r="I1332" t="str">
            <v>Stracciatella Meio Amarga</v>
          </cell>
          <cell r="J1332">
            <v>1.23383</v>
          </cell>
          <cell r="K1332">
            <v>0.04</v>
          </cell>
          <cell r="L1332" t="str">
            <v>kg</v>
          </cell>
          <cell r="M1332">
            <v>30.845749999999999</v>
          </cell>
        </row>
        <row r="1333">
          <cell r="H1333">
            <v>216000017</v>
          </cell>
          <cell r="I1333" t="str">
            <v>Leite em Pó Ninho</v>
          </cell>
          <cell r="J1333">
            <v>1.2378666666666669</v>
          </cell>
          <cell r="K1333">
            <v>0.02</v>
          </cell>
          <cell r="L1333" t="str">
            <v>kg</v>
          </cell>
          <cell r="M1333">
            <v>61.893333333333338</v>
          </cell>
        </row>
        <row r="1334">
          <cell r="H1334">
            <v>220100008</v>
          </cell>
          <cell r="I1334" t="str">
            <v>Guardanapo Embalado</v>
          </cell>
          <cell r="J1334">
            <v>7.1500000000000008E-2</v>
          </cell>
          <cell r="K1334">
            <v>1</v>
          </cell>
          <cell r="L1334" t="str">
            <v>Un</v>
          </cell>
          <cell r="M1334">
            <v>7.1500000000000008E-2</v>
          </cell>
        </row>
        <row r="1335">
          <cell r="H1335">
            <v>210200023</v>
          </cell>
          <cell r="I1335" t="str">
            <v>Tampa 440/550 Ml Milk Shake</v>
          </cell>
          <cell r="J1335">
            <v>0.28471500000000005</v>
          </cell>
          <cell r="K1335">
            <v>1</v>
          </cell>
          <cell r="L1335" t="str">
            <v>Un</v>
          </cell>
          <cell r="M1335">
            <v>0.28471500000000005</v>
          </cell>
        </row>
        <row r="1336">
          <cell r="H1336">
            <v>210200021</v>
          </cell>
          <cell r="I1336" t="str">
            <v>Canudo para Milk Shake 10 mm</v>
          </cell>
          <cell r="J1336">
            <v>0.12690729999999997</v>
          </cell>
          <cell r="K1336">
            <v>1</v>
          </cell>
          <cell r="L1336" t="str">
            <v>Un</v>
          </cell>
          <cell r="M1336">
            <v>0.12690729999999997</v>
          </cell>
        </row>
        <row r="1337">
          <cell r="H1337">
            <v>210200027</v>
          </cell>
          <cell r="I1337" t="str">
            <v>Copo 550 Ml  Milk Shake</v>
          </cell>
          <cell r="J1337">
            <v>0.44045820000000002</v>
          </cell>
          <cell r="K1337">
            <v>1</v>
          </cell>
          <cell r="L1337" t="str">
            <v>Un</v>
          </cell>
          <cell r="M1337">
            <v>0.44045820000000002</v>
          </cell>
        </row>
        <row r="1338">
          <cell r="B1338">
            <v>100500058</v>
          </cell>
          <cell r="C1338">
            <v>1003</v>
          </cell>
          <cell r="D1338" t="str">
            <v>Ms3 Leites 500 ml</v>
          </cell>
          <cell r="E1338">
            <v>7.9771762183122377</v>
          </cell>
          <cell r="F1338">
            <v>28.694878483137543</v>
          </cell>
          <cell r="G1338">
            <v>31.066278621159576</v>
          </cell>
          <cell r="H1338">
            <v>210100001</v>
          </cell>
          <cell r="I1338" t="str">
            <v>Bebida Láctea Uht (Baunilha)</v>
          </cell>
          <cell r="J1338">
            <v>3.0774265199999999</v>
          </cell>
          <cell r="K1338">
            <v>0.28199999999999997</v>
          </cell>
          <cell r="L1338" t="str">
            <v>Kg</v>
          </cell>
          <cell r="M1338">
            <v>10.91286</v>
          </cell>
        </row>
        <row r="1339">
          <cell r="H1339">
            <v>216000016</v>
          </cell>
          <cell r="I1339" t="str">
            <v>Leite Integral</v>
          </cell>
          <cell r="J1339">
            <v>0.2</v>
          </cell>
          <cell r="K1339">
            <v>0.05</v>
          </cell>
          <cell r="L1339" t="str">
            <v>Lt</v>
          </cell>
          <cell r="M1339">
            <v>4</v>
          </cell>
        </row>
        <row r="1340">
          <cell r="H1340">
            <v>216000013</v>
          </cell>
          <cell r="I1340" t="str">
            <v>Leite Condensado</v>
          </cell>
          <cell r="J1340">
            <v>1.0537025316455695</v>
          </cell>
          <cell r="K1340">
            <v>3.7499999999999999E-2</v>
          </cell>
          <cell r="L1340" t="str">
            <v>kg</v>
          </cell>
          <cell r="M1340">
            <v>28.098734177215189</v>
          </cell>
        </row>
        <row r="1341">
          <cell r="H1341">
            <v>210900006</v>
          </cell>
          <cell r="I1341" t="str">
            <v>Stracciatella Branca</v>
          </cell>
          <cell r="J1341">
            <v>1.4846000000000004</v>
          </cell>
          <cell r="K1341">
            <v>0.04</v>
          </cell>
          <cell r="L1341" t="str">
            <v>kg</v>
          </cell>
          <cell r="M1341">
            <v>37.115000000000009</v>
          </cell>
        </row>
        <row r="1342">
          <cell r="H1342">
            <v>216000017</v>
          </cell>
          <cell r="I1342" t="str">
            <v>Leite em Pó Ninho</v>
          </cell>
          <cell r="J1342">
            <v>1.2378666666666669</v>
          </cell>
          <cell r="K1342">
            <v>0.02</v>
          </cell>
          <cell r="L1342" t="str">
            <v>kg</v>
          </cell>
          <cell r="M1342">
            <v>61.893333333333338</v>
          </cell>
        </row>
        <row r="1343">
          <cell r="H1343">
            <v>220100008</v>
          </cell>
          <cell r="I1343" t="str">
            <v>Guardanapo Embalado</v>
          </cell>
          <cell r="J1343">
            <v>7.1500000000000008E-2</v>
          </cell>
          <cell r="K1343">
            <v>1</v>
          </cell>
          <cell r="L1343" t="str">
            <v>Un</v>
          </cell>
          <cell r="M1343">
            <v>7.1500000000000008E-2</v>
          </cell>
        </row>
        <row r="1344">
          <cell r="H1344">
            <v>210200023</v>
          </cell>
          <cell r="I1344" t="str">
            <v>Tampa 440/550 Ml Milk Shake</v>
          </cell>
          <cell r="J1344">
            <v>0.28471500000000005</v>
          </cell>
          <cell r="K1344">
            <v>1</v>
          </cell>
          <cell r="L1344" t="str">
            <v>Un</v>
          </cell>
          <cell r="M1344">
            <v>0.28471500000000005</v>
          </cell>
        </row>
        <row r="1345">
          <cell r="H1345">
            <v>210200021</v>
          </cell>
          <cell r="I1345" t="str">
            <v>Canudo para Milk Shake 10 mm</v>
          </cell>
          <cell r="J1345">
            <v>0.12690729999999997</v>
          </cell>
          <cell r="K1345">
            <v>1</v>
          </cell>
          <cell r="L1345" t="str">
            <v>Un</v>
          </cell>
          <cell r="M1345">
            <v>0.12690729999999997</v>
          </cell>
        </row>
        <row r="1346">
          <cell r="H1346">
            <v>210200027</v>
          </cell>
          <cell r="I1346" t="str">
            <v>Copo 550 Ml  Milk Shake</v>
          </cell>
          <cell r="J1346">
            <v>0.44045820000000002</v>
          </cell>
          <cell r="K1346">
            <v>1</v>
          </cell>
          <cell r="L1346" t="str">
            <v>Un</v>
          </cell>
          <cell r="M1346">
            <v>0.44045820000000002</v>
          </cell>
        </row>
        <row r="1347">
          <cell r="B1347">
            <v>100500059</v>
          </cell>
          <cell r="C1347">
            <v>1031</v>
          </cell>
          <cell r="D1347" t="str">
            <v>Milk-Shake Chocotino  turbo 500 ml</v>
          </cell>
          <cell r="E1347">
            <v>8.9204567977777796</v>
          </cell>
          <cell r="F1347">
            <v>32.087974092725823</v>
          </cell>
          <cell r="G1347">
            <v>34.319881283234416</v>
          </cell>
          <cell r="H1347">
            <v>216000016</v>
          </cell>
          <cell r="I1347" t="str">
            <v>Leite Integral</v>
          </cell>
          <cell r="J1347">
            <v>0.2</v>
          </cell>
          <cell r="K1347">
            <v>0.05</v>
          </cell>
          <cell r="L1347" t="str">
            <v>Kg</v>
          </cell>
          <cell r="M1347">
            <v>4</v>
          </cell>
        </row>
        <row r="1348">
          <cell r="H1348">
            <v>210100007</v>
          </cell>
          <cell r="I1348" t="str">
            <v>Bebida Láctea Uht Sabores</v>
          </cell>
          <cell r="J1348">
            <v>3.0774265199999999</v>
          </cell>
          <cell r="K1348">
            <v>0.28199999999999997</v>
          </cell>
          <cell r="L1348" t="str">
            <v>Lt</v>
          </cell>
          <cell r="M1348">
            <v>10.91286</v>
          </cell>
        </row>
        <row r="1349">
          <cell r="H1349">
            <v>210200021</v>
          </cell>
          <cell r="I1349" t="str">
            <v>Canudo para Milk Shake 10 mm</v>
          </cell>
          <cell r="J1349">
            <v>0.12690729999999997</v>
          </cell>
          <cell r="K1349">
            <v>1</v>
          </cell>
          <cell r="L1349" t="str">
            <v>Un</v>
          </cell>
          <cell r="M1349">
            <v>0.12690729999999997</v>
          </cell>
        </row>
        <row r="1350">
          <cell r="H1350">
            <v>210900004</v>
          </cell>
          <cell r="I1350" t="str">
            <v>Ovomaltine</v>
          </cell>
          <cell r="J1350">
            <v>1.4721031111111111</v>
          </cell>
          <cell r="K1350">
            <v>3.7999999999999999E-2</v>
          </cell>
          <cell r="L1350" t="str">
            <v>Kg</v>
          </cell>
          <cell r="M1350">
            <v>38.739555555555555</v>
          </cell>
        </row>
        <row r="1351">
          <cell r="H1351">
            <v>216000039</v>
          </cell>
          <cell r="I1351" t="str">
            <v>Creme Crocante</v>
          </cell>
          <cell r="J1351">
            <v>3.2473466666666666</v>
          </cell>
          <cell r="K1351">
            <v>5.6000000000000001E-2</v>
          </cell>
          <cell r="L1351" t="str">
            <v>kg</v>
          </cell>
          <cell r="M1351">
            <v>57.98833333333333</v>
          </cell>
        </row>
        <row r="1352">
          <cell r="H1352">
            <v>220100008</v>
          </cell>
          <cell r="I1352" t="str">
            <v>Guardanapo Embalado</v>
          </cell>
          <cell r="J1352">
            <v>7.1500000000000008E-2</v>
          </cell>
          <cell r="K1352">
            <v>1</v>
          </cell>
          <cell r="L1352" t="str">
            <v>Un</v>
          </cell>
          <cell r="M1352">
            <v>7.1500000000000008E-2</v>
          </cell>
        </row>
        <row r="1353">
          <cell r="H1353">
            <v>210200023</v>
          </cell>
          <cell r="I1353" t="str">
            <v>Tampa 440/550 Ml Milk Shake</v>
          </cell>
          <cell r="J1353">
            <v>0.28471500000000005</v>
          </cell>
          <cell r="K1353">
            <v>1</v>
          </cell>
          <cell r="L1353" t="str">
            <v>Un</v>
          </cell>
          <cell r="M1353">
            <v>0.28471500000000005</v>
          </cell>
        </row>
        <row r="1354">
          <cell r="H1354">
            <v>210200027</v>
          </cell>
          <cell r="I1354" t="str">
            <v>Copo 550 Ml  Milk Shake</v>
          </cell>
          <cell r="J1354">
            <v>0.44045820000000002</v>
          </cell>
          <cell r="K1354">
            <v>1</v>
          </cell>
          <cell r="L1354" t="str">
            <v>Un</v>
          </cell>
          <cell r="M1354">
            <v>0.44045820000000002</v>
          </cell>
        </row>
        <row r="1355">
          <cell r="B1355">
            <v>100500060</v>
          </cell>
          <cell r="C1355">
            <v>1032</v>
          </cell>
          <cell r="D1355" t="str">
            <v>MsAmarena e Calda Quente 500 ml</v>
          </cell>
          <cell r="E1355">
            <v>11.609837020000001</v>
          </cell>
          <cell r="F1355">
            <v>41.762003669064747</v>
          </cell>
          <cell r="G1355">
            <v>43.596203557685818</v>
          </cell>
          <cell r="H1355">
            <v>216000016</v>
          </cell>
          <cell r="I1355" t="str">
            <v>Leite Integral</v>
          </cell>
          <cell r="J1355">
            <v>0.2</v>
          </cell>
          <cell r="K1355">
            <v>0.05</v>
          </cell>
          <cell r="L1355" t="str">
            <v>Kg</v>
          </cell>
          <cell r="M1355">
            <v>4</v>
          </cell>
        </row>
        <row r="1356">
          <cell r="H1356">
            <v>210100007</v>
          </cell>
          <cell r="I1356" t="str">
            <v>Bebida Láctea Uht Sabores</v>
          </cell>
          <cell r="J1356">
            <v>3.0774265199999999</v>
          </cell>
          <cell r="K1356">
            <v>0.28199999999999997</v>
          </cell>
          <cell r="L1356" t="str">
            <v>Lt</v>
          </cell>
          <cell r="M1356">
            <v>10.91286</v>
          </cell>
        </row>
        <row r="1357">
          <cell r="H1357">
            <v>210200021</v>
          </cell>
          <cell r="I1357" t="str">
            <v>Canudo para Milk Shake 10 mm</v>
          </cell>
          <cell r="J1357">
            <v>0.12690729999999997</v>
          </cell>
          <cell r="K1357">
            <v>1</v>
          </cell>
          <cell r="L1357" t="str">
            <v>Un</v>
          </cell>
          <cell r="M1357">
            <v>0.12690729999999997</v>
          </cell>
        </row>
        <row r="1358">
          <cell r="H1358">
            <v>216000078</v>
          </cell>
          <cell r="I1358" t="str">
            <v>Variegato Amarena Rubino</v>
          </cell>
          <cell r="J1358">
            <v>6.1750000000000007</v>
          </cell>
          <cell r="K1358">
            <v>0.05</v>
          </cell>
          <cell r="L1358" t="str">
            <v>Kg</v>
          </cell>
          <cell r="M1358">
            <v>123.5</v>
          </cell>
        </row>
        <row r="1359">
          <cell r="H1359">
            <v>210900005</v>
          </cell>
          <cell r="I1359" t="str">
            <v>Stracciatella Meio Amarga</v>
          </cell>
          <cell r="J1359">
            <v>1.23383</v>
          </cell>
          <cell r="K1359">
            <v>0.04</v>
          </cell>
          <cell r="L1359" t="str">
            <v>kg</v>
          </cell>
          <cell r="M1359">
            <v>30.845749999999999</v>
          </cell>
        </row>
        <row r="1360">
          <cell r="H1360">
            <v>220100008</v>
          </cell>
          <cell r="I1360" t="str">
            <v>Guardanapo Embalado</v>
          </cell>
          <cell r="J1360">
            <v>7.1500000000000008E-2</v>
          </cell>
          <cell r="K1360">
            <v>1</v>
          </cell>
          <cell r="L1360" t="str">
            <v>Un</v>
          </cell>
          <cell r="M1360">
            <v>7.1500000000000008E-2</v>
          </cell>
        </row>
        <row r="1361">
          <cell r="H1361">
            <v>210200023</v>
          </cell>
          <cell r="I1361" t="str">
            <v>Tampa 440/550 Ml Milk Shake</v>
          </cell>
          <cell r="J1361">
            <v>0.28471500000000005</v>
          </cell>
          <cell r="K1361">
            <v>1</v>
          </cell>
          <cell r="L1361" t="str">
            <v>Un</v>
          </cell>
          <cell r="M1361">
            <v>0.28471500000000005</v>
          </cell>
        </row>
        <row r="1362">
          <cell r="H1362">
            <v>210200027</v>
          </cell>
          <cell r="I1362" t="str">
            <v>Copo 550 Ml  Milk Shake</v>
          </cell>
          <cell r="J1362">
            <v>0.44045820000000002</v>
          </cell>
          <cell r="K1362">
            <v>1</v>
          </cell>
          <cell r="L1362" t="str">
            <v>Un</v>
          </cell>
          <cell r="M1362">
            <v>0.44045820000000002</v>
          </cell>
        </row>
        <row r="1363">
          <cell r="B1363">
            <v>100500061</v>
          </cell>
          <cell r="C1363">
            <v>1032</v>
          </cell>
          <cell r="D1363" t="str">
            <v>MsPistache 500 ml</v>
          </cell>
          <cell r="E1363">
            <v>10.713227020000001</v>
          </cell>
          <cell r="F1363">
            <v>38.536787841726621</v>
          </cell>
          <cell r="G1363">
            <v>40.50357900212061</v>
          </cell>
          <cell r="H1363">
            <v>216000016</v>
          </cell>
          <cell r="I1363" t="str">
            <v>Leite Integral</v>
          </cell>
          <cell r="J1363">
            <v>0.2</v>
          </cell>
          <cell r="K1363">
            <v>0.05</v>
          </cell>
          <cell r="L1363" t="str">
            <v>Kg</v>
          </cell>
          <cell r="M1363">
            <v>4</v>
          </cell>
        </row>
        <row r="1364">
          <cell r="H1364">
            <v>210100007</v>
          </cell>
          <cell r="I1364" t="str">
            <v>Bebida Láctea Uht Sabores</v>
          </cell>
          <cell r="J1364">
            <v>3.0774265199999999</v>
          </cell>
          <cell r="K1364">
            <v>0.28199999999999997</v>
          </cell>
          <cell r="L1364" t="str">
            <v>Lt</v>
          </cell>
          <cell r="M1364">
            <v>10.91286</v>
          </cell>
        </row>
        <row r="1365">
          <cell r="H1365">
            <v>210200021</v>
          </cell>
          <cell r="I1365" t="str">
            <v>Canudo para Milk Shake 10 mm</v>
          </cell>
          <cell r="J1365">
            <v>0.12690729999999997</v>
          </cell>
          <cell r="K1365">
            <v>1</v>
          </cell>
          <cell r="L1365" t="str">
            <v>Un</v>
          </cell>
          <cell r="M1365">
            <v>0.12690729999999997</v>
          </cell>
        </row>
        <row r="1366">
          <cell r="H1366">
            <v>216000068</v>
          </cell>
          <cell r="I1366" t="str">
            <v>Crempistache</v>
          </cell>
          <cell r="J1366">
            <v>6.5122200000000001</v>
          </cell>
          <cell r="K1366">
            <v>4.4999999999999998E-2</v>
          </cell>
          <cell r="L1366" t="str">
            <v>Kg</v>
          </cell>
          <cell r="M1366">
            <v>144.71600000000001</v>
          </cell>
        </row>
        <row r="1367">
          <cell r="H1367">
            <v>220100008</v>
          </cell>
          <cell r="I1367" t="str">
            <v>Guardanapo Embalado</v>
          </cell>
          <cell r="J1367">
            <v>7.1500000000000008E-2</v>
          </cell>
          <cell r="K1367">
            <v>1</v>
          </cell>
          <cell r="L1367" t="str">
            <v>Un</v>
          </cell>
          <cell r="M1367">
            <v>7.1500000000000008E-2</v>
          </cell>
        </row>
        <row r="1368">
          <cell r="H1368">
            <v>210200023</v>
          </cell>
          <cell r="I1368" t="str">
            <v>Tampa 440/550 Ml Milk Shake</v>
          </cell>
          <cell r="J1368">
            <v>0.28471500000000005</v>
          </cell>
          <cell r="K1368">
            <v>1</v>
          </cell>
          <cell r="L1368" t="str">
            <v>Un</v>
          </cell>
          <cell r="M1368">
            <v>0.28471500000000005</v>
          </cell>
        </row>
        <row r="1369">
          <cell r="H1369">
            <v>210200027</v>
          </cell>
          <cell r="I1369" t="str">
            <v>Copo 550 Ml  Milk Shake</v>
          </cell>
          <cell r="J1369">
            <v>0.44045820000000002</v>
          </cell>
          <cell r="K1369">
            <v>1</v>
          </cell>
          <cell r="L1369" t="str">
            <v>Un</v>
          </cell>
          <cell r="M1369">
            <v>0.44045820000000002</v>
          </cell>
        </row>
        <row r="1370">
          <cell r="B1370">
            <v>100500062</v>
          </cell>
          <cell r="C1370">
            <v>1032</v>
          </cell>
          <cell r="D1370" t="str">
            <v>MsPuro Leite 500 ml</v>
          </cell>
          <cell r="E1370">
            <v>5.4880070200000013</v>
          </cell>
          <cell r="F1370">
            <v>19.741032446043167</v>
          </cell>
          <cell r="G1370">
            <v>22.480532549113761</v>
          </cell>
          <cell r="H1370">
            <v>216000016</v>
          </cell>
          <cell r="I1370" t="str">
            <v>Leite Integral</v>
          </cell>
          <cell r="J1370">
            <v>0.2</v>
          </cell>
          <cell r="K1370">
            <v>0.05</v>
          </cell>
          <cell r="L1370" t="str">
            <v>Kg</v>
          </cell>
          <cell r="M1370">
            <v>4</v>
          </cell>
        </row>
        <row r="1371">
          <cell r="H1371">
            <v>210100007</v>
          </cell>
          <cell r="I1371" t="str">
            <v>Bebida Láctea Uht Sabores</v>
          </cell>
          <cell r="J1371">
            <v>3.0774265199999999</v>
          </cell>
          <cell r="K1371">
            <v>0.28199999999999997</v>
          </cell>
          <cell r="L1371" t="str">
            <v>Lt</v>
          </cell>
          <cell r="M1371">
            <v>10.91286</v>
          </cell>
        </row>
        <row r="1372">
          <cell r="H1372">
            <v>210200021</v>
          </cell>
          <cell r="I1372" t="str">
            <v>Canudo para Milk Shake 10 mm</v>
          </cell>
          <cell r="J1372">
            <v>0.12690729999999997</v>
          </cell>
          <cell r="K1372">
            <v>1</v>
          </cell>
          <cell r="L1372" t="str">
            <v>Un</v>
          </cell>
          <cell r="M1372">
            <v>0.12690729999999997</v>
          </cell>
        </row>
        <row r="1373">
          <cell r="H1373">
            <v>216000077</v>
          </cell>
          <cell r="I1373" t="str">
            <v>Caribe Leitinho</v>
          </cell>
          <cell r="J1373">
            <v>1.2869999999999999</v>
          </cell>
          <cell r="K1373">
            <v>4.4999999999999998E-2</v>
          </cell>
          <cell r="L1373" t="str">
            <v>Kg</v>
          </cell>
          <cell r="M1373">
            <v>28.599999999999998</v>
          </cell>
        </row>
        <row r="1374">
          <cell r="H1374">
            <v>220100008</v>
          </cell>
          <cell r="I1374" t="str">
            <v>Guardanapo Embalado</v>
          </cell>
          <cell r="J1374">
            <v>7.1500000000000008E-2</v>
          </cell>
          <cell r="K1374">
            <v>1</v>
          </cell>
          <cell r="L1374" t="str">
            <v>Un</v>
          </cell>
          <cell r="M1374">
            <v>7.1500000000000008E-2</v>
          </cell>
        </row>
        <row r="1375">
          <cell r="H1375">
            <v>210200023</v>
          </cell>
          <cell r="I1375" t="str">
            <v>Tampa 440/550 Ml Milk Shake</v>
          </cell>
          <cell r="J1375">
            <v>0.28471500000000005</v>
          </cell>
          <cell r="K1375">
            <v>1</v>
          </cell>
          <cell r="L1375" t="str">
            <v>Un</v>
          </cell>
          <cell r="M1375">
            <v>0.28471500000000005</v>
          </cell>
        </row>
        <row r="1376">
          <cell r="H1376">
            <v>210200027</v>
          </cell>
          <cell r="I1376" t="str">
            <v>Copo 550 Ml  Milk Shake</v>
          </cell>
          <cell r="J1376">
            <v>0.44045820000000002</v>
          </cell>
          <cell r="K1376">
            <v>1</v>
          </cell>
          <cell r="L1376" t="str">
            <v>Un</v>
          </cell>
          <cell r="M1376">
            <v>0.44045820000000002</v>
          </cell>
        </row>
        <row r="1377">
          <cell r="B1377">
            <v>100500063</v>
          </cell>
          <cell r="C1377">
            <v>1032</v>
          </cell>
          <cell r="D1377" t="str">
            <v>MsBeijinho com Coco da Malásia 500 ml</v>
          </cell>
          <cell r="E1377">
            <v>9.3860570200000009</v>
          </cell>
          <cell r="F1377">
            <v>33.762795035971223</v>
          </cell>
          <cell r="G1377">
            <v>35.925848961847258</v>
          </cell>
          <cell r="H1377">
            <v>216000016</v>
          </cell>
          <cell r="I1377" t="str">
            <v>Leite Integral</v>
          </cell>
          <cell r="J1377">
            <v>0.2</v>
          </cell>
          <cell r="K1377">
            <v>0.05</v>
          </cell>
          <cell r="L1377" t="str">
            <v>Kg</v>
          </cell>
          <cell r="M1377">
            <v>4</v>
          </cell>
        </row>
        <row r="1378">
          <cell r="H1378">
            <v>210100007</v>
          </cell>
          <cell r="I1378" t="str">
            <v>Bebida Láctea Uht Sabores</v>
          </cell>
          <cell r="J1378">
            <v>3.0774265199999999</v>
          </cell>
          <cell r="K1378">
            <v>0.28199999999999997</v>
          </cell>
          <cell r="L1378" t="str">
            <v>Lt</v>
          </cell>
          <cell r="M1378">
            <v>10.91286</v>
          </cell>
        </row>
        <row r="1379">
          <cell r="H1379">
            <v>210200021</v>
          </cell>
          <cell r="I1379" t="str">
            <v>Canudo para Milk Shake 10 mm</v>
          </cell>
          <cell r="J1379">
            <v>0.12690729999999997</v>
          </cell>
          <cell r="K1379">
            <v>1</v>
          </cell>
          <cell r="L1379" t="str">
            <v>Un</v>
          </cell>
          <cell r="M1379">
            <v>0.12690729999999997</v>
          </cell>
        </row>
        <row r="1380">
          <cell r="H1380">
            <v>216000077</v>
          </cell>
          <cell r="I1380" t="str">
            <v>Caribe Leitinho</v>
          </cell>
          <cell r="J1380">
            <v>1.2869999999999999</v>
          </cell>
          <cell r="K1380">
            <v>4.4999999999999998E-2</v>
          </cell>
          <cell r="L1380" t="str">
            <v>Kg</v>
          </cell>
          <cell r="M1380">
            <v>28.599999999999998</v>
          </cell>
        </row>
        <row r="1381">
          <cell r="H1381">
            <v>216000079</v>
          </cell>
          <cell r="I1381" t="str">
            <v>Creme Coco Malasia</v>
          </cell>
          <cell r="J1381">
            <v>3.89805</v>
          </cell>
          <cell r="K1381">
            <v>4.4999999999999998E-2</v>
          </cell>
          <cell r="L1381" t="str">
            <v>Kg</v>
          </cell>
          <cell r="M1381">
            <v>86.623333333333335</v>
          </cell>
        </row>
        <row r="1382">
          <cell r="H1382">
            <v>220100008</v>
          </cell>
          <cell r="I1382" t="str">
            <v>Guardanapo Embalado</v>
          </cell>
          <cell r="J1382">
            <v>7.1500000000000008E-2</v>
          </cell>
          <cell r="K1382">
            <v>1</v>
          </cell>
          <cell r="L1382" t="str">
            <v>Un</v>
          </cell>
          <cell r="M1382">
            <v>7.1500000000000008E-2</v>
          </cell>
        </row>
        <row r="1383">
          <cell r="H1383">
            <v>210200023</v>
          </cell>
          <cell r="I1383" t="str">
            <v>Tampa 440/550 Ml Milk Shake</v>
          </cell>
          <cell r="J1383">
            <v>0.28471500000000005</v>
          </cell>
          <cell r="K1383">
            <v>1</v>
          </cell>
          <cell r="L1383" t="str">
            <v>Un</v>
          </cell>
          <cell r="M1383">
            <v>0.28471500000000005</v>
          </cell>
        </row>
        <row r="1384">
          <cell r="H1384">
            <v>210200027</v>
          </cell>
          <cell r="I1384" t="str">
            <v>Copo 550 Ml  Milk Shake</v>
          </cell>
          <cell r="J1384">
            <v>0.44045820000000002</v>
          </cell>
          <cell r="K1384">
            <v>1</v>
          </cell>
          <cell r="L1384" t="str">
            <v>Un</v>
          </cell>
          <cell r="M1384">
            <v>0.44045820000000002</v>
          </cell>
        </row>
        <row r="1385">
          <cell r="B1385">
            <v>100300047</v>
          </cell>
          <cell r="C1385">
            <v>1003</v>
          </cell>
          <cell r="D1385" t="str">
            <v>MsAcai 300 ml</v>
          </cell>
          <cell r="E1385">
            <v>3.6690077999999997</v>
          </cell>
          <cell r="F1385">
            <v>13.19786978417266</v>
          </cell>
          <cell r="G1385">
            <v>25.563677530137372</v>
          </cell>
          <cell r="H1385">
            <v>210100001</v>
          </cell>
          <cell r="I1385" t="str">
            <v>Bebida Láctea Uht (Baunilha)</v>
          </cell>
          <cell r="J1385">
            <v>1.5278004000000003</v>
          </cell>
          <cell r="K1385">
            <v>0.14000000000000001</v>
          </cell>
          <cell r="L1385" t="str">
            <v>Lt</v>
          </cell>
          <cell r="M1385">
            <v>10.91286</v>
          </cell>
        </row>
        <row r="1386">
          <cell r="H1386">
            <v>216000005</v>
          </cell>
          <cell r="I1386" t="str">
            <v>Açaí Natural</v>
          </cell>
          <cell r="J1386">
            <v>1.4848239999999999</v>
          </cell>
          <cell r="K1386">
            <v>0.08</v>
          </cell>
          <cell r="L1386" t="str">
            <v>Kg</v>
          </cell>
          <cell r="M1386">
            <v>18.560299999999998</v>
          </cell>
        </row>
        <row r="1387">
          <cell r="H1387">
            <v>210200021</v>
          </cell>
          <cell r="I1387" t="str">
            <v>Canudo para Milk Shake 10 mm</v>
          </cell>
          <cell r="J1387">
            <v>0.12690729999999997</v>
          </cell>
          <cell r="K1387">
            <v>1</v>
          </cell>
          <cell r="L1387" t="str">
            <v>Un</v>
          </cell>
          <cell r="M1387">
            <v>0.12690729999999997</v>
          </cell>
        </row>
        <row r="1388">
          <cell r="H1388">
            <v>210200030</v>
          </cell>
          <cell r="I1388" t="str">
            <v>Copo 330 ml Milk Shake</v>
          </cell>
          <cell r="J1388">
            <v>0.2827461</v>
          </cell>
          <cell r="K1388">
            <v>1</v>
          </cell>
          <cell r="L1388" t="str">
            <v>Un</v>
          </cell>
          <cell r="M1388">
            <v>0.2827461</v>
          </cell>
        </row>
        <row r="1389">
          <cell r="H1389">
            <v>220100008</v>
          </cell>
          <cell r="I1389" t="str">
            <v>Guardanapo Embalado</v>
          </cell>
          <cell r="J1389">
            <v>7.1500000000000008E-2</v>
          </cell>
          <cell r="K1389">
            <v>1</v>
          </cell>
          <cell r="L1389" t="str">
            <v>Un</v>
          </cell>
          <cell r="M1389">
            <v>7.1500000000000008E-2</v>
          </cell>
        </row>
        <row r="1390">
          <cell r="H1390">
            <v>210200049</v>
          </cell>
          <cell r="I1390" t="str">
            <v>Tampa 330 ml Milk Shake</v>
          </cell>
          <cell r="J1390">
            <v>0.17523</v>
          </cell>
          <cell r="K1390">
            <v>1</v>
          </cell>
          <cell r="L1390" t="str">
            <v>Un</v>
          </cell>
          <cell r="M1390">
            <v>0.17523</v>
          </cell>
        </row>
        <row r="1391">
          <cell r="B1391">
            <v>100400047</v>
          </cell>
          <cell r="C1391">
            <v>1004</v>
          </cell>
          <cell r="D1391" t="str">
            <v>MsAcai 400 ml</v>
          </cell>
          <cell r="E1391">
            <v>4.7922158500000007</v>
          </cell>
          <cell r="F1391">
            <v>17.238186510791369</v>
          </cell>
          <cell r="G1391">
            <v>20.08058066603477</v>
          </cell>
          <cell r="H1391">
            <v>210100001</v>
          </cell>
          <cell r="I1391" t="str">
            <v>Bebida Láctea Uht (Baunilha)</v>
          </cell>
          <cell r="J1391">
            <v>2.0734433999999999</v>
          </cell>
          <cell r="K1391">
            <v>0.19</v>
          </cell>
          <cell r="L1391" t="str">
            <v>Kg</v>
          </cell>
          <cell r="M1391">
            <v>10.91286</v>
          </cell>
        </row>
        <row r="1392">
          <cell r="H1392">
            <v>216000005</v>
          </cell>
          <cell r="I1392" t="str">
            <v>Açaí Natural</v>
          </cell>
          <cell r="J1392">
            <v>1.8560299999999998</v>
          </cell>
          <cell r="K1392">
            <v>0.1</v>
          </cell>
          <cell r="L1392" t="str">
            <v>Lt</v>
          </cell>
          <cell r="M1392">
            <v>18.560299999999998</v>
          </cell>
        </row>
        <row r="1393">
          <cell r="H1393">
            <v>210200021</v>
          </cell>
          <cell r="I1393" t="str">
            <v>Canudo para Milk Shake 10 mm</v>
          </cell>
          <cell r="J1393">
            <v>0.12690729999999997</v>
          </cell>
          <cell r="K1393">
            <v>1</v>
          </cell>
          <cell r="L1393" t="str">
            <v>Lt</v>
          </cell>
          <cell r="M1393">
            <v>0.12690729999999997</v>
          </cell>
        </row>
        <row r="1394">
          <cell r="H1394">
            <v>210200017</v>
          </cell>
          <cell r="I1394" t="str">
            <v>Copo 440 Ml Milk Shake</v>
          </cell>
          <cell r="J1394">
            <v>0.37962015000000005</v>
          </cell>
          <cell r="K1394">
            <v>1</v>
          </cell>
          <cell r="L1394" t="str">
            <v>Un</v>
          </cell>
          <cell r="M1394">
            <v>0.37962015000000005</v>
          </cell>
        </row>
        <row r="1395">
          <cell r="H1395">
            <v>220100008</v>
          </cell>
          <cell r="I1395" t="str">
            <v>Guardanapo Embalado</v>
          </cell>
          <cell r="J1395">
            <v>7.1500000000000008E-2</v>
          </cell>
          <cell r="K1395">
            <v>1</v>
          </cell>
          <cell r="L1395" t="str">
            <v>Un</v>
          </cell>
          <cell r="M1395">
            <v>7.1500000000000008E-2</v>
          </cell>
        </row>
        <row r="1396">
          <cell r="H1396">
            <v>210200023</v>
          </cell>
          <cell r="I1396" t="str">
            <v>Tampa 440/550 Ml Milk Shake</v>
          </cell>
          <cell r="J1396">
            <v>0.28471500000000005</v>
          </cell>
          <cell r="K1396">
            <v>1</v>
          </cell>
          <cell r="L1396" t="str">
            <v>Un</v>
          </cell>
          <cell r="M1396">
            <v>0.28471500000000005</v>
          </cell>
        </row>
        <row r="1397">
          <cell r="B1397">
            <v>100500047</v>
          </cell>
          <cell r="C1397">
            <v>1005</v>
          </cell>
          <cell r="D1397" t="str">
            <v>MsAcai 500 ml</v>
          </cell>
          <cell r="E1397">
            <v>5.7699029000000008</v>
          </cell>
          <cell r="F1397">
            <v>20.755046402877699</v>
          </cell>
          <cell r="G1397">
            <v>23.452859559297302</v>
          </cell>
          <cell r="H1397">
            <v>210100001</v>
          </cell>
          <cell r="I1397" t="str">
            <v>Bebida Láctea Uht (Baunilha)</v>
          </cell>
          <cell r="J1397">
            <v>2.6190864</v>
          </cell>
          <cell r="K1397">
            <v>0.24</v>
          </cell>
          <cell r="L1397" t="str">
            <v>Lt</v>
          </cell>
          <cell r="M1397">
            <v>10.91286</v>
          </cell>
        </row>
        <row r="1398">
          <cell r="H1398">
            <v>216000005</v>
          </cell>
          <cell r="I1398" t="str">
            <v>Açaí Natural</v>
          </cell>
          <cell r="J1398">
            <v>2.2272359999999995</v>
          </cell>
          <cell r="K1398">
            <v>0.12</v>
          </cell>
          <cell r="L1398" t="str">
            <v>Kg</v>
          </cell>
          <cell r="M1398">
            <v>18.560299999999998</v>
          </cell>
        </row>
        <row r="1399">
          <cell r="H1399">
            <v>210200021</v>
          </cell>
          <cell r="I1399" t="str">
            <v>Canudo para Milk Shake 10 mm</v>
          </cell>
          <cell r="J1399">
            <v>0.12690729999999997</v>
          </cell>
          <cell r="K1399">
            <v>1</v>
          </cell>
          <cell r="L1399" t="str">
            <v>Lt</v>
          </cell>
          <cell r="M1399">
            <v>0.12690729999999997</v>
          </cell>
        </row>
        <row r="1400">
          <cell r="H1400">
            <v>210200027</v>
          </cell>
          <cell r="I1400" t="str">
            <v>Copo 550 Ml  Milk Shake</v>
          </cell>
          <cell r="J1400">
            <v>0.44045820000000002</v>
          </cell>
          <cell r="K1400">
            <v>1</v>
          </cell>
          <cell r="L1400" t="str">
            <v>Un</v>
          </cell>
          <cell r="M1400">
            <v>0.44045820000000002</v>
          </cell>
        </row>
        <row r="1401">
          <cell r="H1401">
            <v>220100008</v>
          </cell>
          <cell r="I1401" t="str">
            <v>Guardanapo Embalado</v>
          </cell>
          <cell r="J1401">
            <v>7.1500000000000008E-2</v>
          </cell>
          <cell r="K1401">
            <v>1</v>
          </cell>
          <cell r="L1401" t="str">
            <v>Un</v>
          </cell>
          <cell r="M1401">
            <v>7.1500000000000008E-2</v>
          </cell>
        </row>
        <row r="1402">
          <cell r="H1402">
            <v>210200023</v>
          </cell>
          <cell r="I1402" t="str">
            <v>Tampa 440/550 Ml Milk Shake</v>
          </cell>
          <cell r="J1402">
            <v>0.28471500000000005</v>
          </cell>
          <cell r="K1402">
            <v>1</v>
          </cell>
          <cell r="L1402" t="str">
            <v>Un</v>
          </cell>
          <cell r="M1402">
            <v>0.28471500000000005</v>
          </cell>
        </row>
        <row r="1403">
          <cell r="B1403">
            <v>100800020</v>
          </cell>
          <cell r="C1403">
            <v>1008</v>
          </cell>
          <cell r="D1403" t="str">
            <v>Sundae Kids Disqueti com Cobertura Caramelo</v>
          </cell>
          <cell r="E1403">
            <v>3.7783666932838287</v>
          </cell>
          <cell r="F1403">
            <v>13.591247098143267</v>
          </cell>
          <cell r="G1403">
            <v>17.187980542427152</v>
          </cell>
          <cell r="H1403">
            <v>210100007</v>
          </cell>
          <cell r="I1403" t="str">
            <v>Bebida Láctea Uht Sabores</v>
          </cell>
          <cell r="J1403">
            <v>1.1458503</v>
          </cell>
          <cell r="K1403">
            <v>0.105</v>
          </cell>
          <cell r="L1403" t="str">
            <v>Lt</v>
          </cell>
          <cell r="M1403">
            <v>10.91286</v>
          </cell>
        </row>
        <row r="1404">
          <cell r="H1404">
            <v>210900002</v>
          </cell>
          <cell r="I1404" t="str">
            <v>Mini Disqueti - Dori</v>
          </cell>
          <cell r="J1404">
            <v>1.6478000000000002</v>
          </cell>
          <cell r="K1404">
            <v>2.5000000000000001E-2</v>
          </cell>
          <cell r="L1404" t="str">
            <v>Kg</v>
          </cell>
          <cell r="M1404">
            <v>65.912000000000006</v>
          </cell>
        </row>
        <row r="1405">
          <cell r="H1405">
            <v>216000009</v>
          </cell>
          <cell r="I1405" t="str">
            <v>Canudinho Biju Wafer</v>
          </cell>
          <cell r="J1405">
            <v>0.11329500000000001</v>
          </cell>
          <cell r="K1405">
            <v>3.0000000000000001E-3</v>
          </cell>
          <cell r="L1405" t="str">
            <v>Un</v>
          </cell>
          <cell r="M1405">
            <v>37.765000000000001</v>
          </cell>
        </row>
        <row r="1406">
          <cell r="H1406">
            <v>210500001</v>
          </cell>
          <cell r="I1406" t="str">
            <v>Cobertura de Caramelo</v>
          </cell>
          <cell r="J1406">
            <v>0.17938283828382839</v>
          </cell>
          <cell r="K1406">
            <v>0.01</v>
          </cell>
          <cell r="L1406" t="str">
            <v>kg</v>
          </cell>
          <cell r="M1406">
            <v>17.93828382838284</v>
          </cell>
        </row>
        <row r="1407">
          <cell r="H1407">
            <v>210200011</v>
          </cell>
          <cell r="I1407" t="str">
            <v>Colher Grande</v>
          </cell>
          <cell r="J1407">
            <v>0.18408533000000002</v>
          </cell>
          <cell r="K1407">
            <v>1</v>
          </cell>
          <cell r="L1407" t="str">
            <v>Un</v>
          </cell>
          <cell r="M1407">
            <v>0.18408533000000002</v>
          </cell>
        </row>
        <row r="1408">
          <cell r="H1408">
            <v>220100008</v>
          </cell>
          <cell r="I1408" t="str">
            <v>Guardanapo Embalado</v>
          </cell>
          <cell r="J1408">
            <v>7.1500000000000008E-2</v>
          </cell>
          <cell r="K1408">
            <v>1</v>
          </cell>
          <cell r="L1408" t="str">
            <v>Un</v>
          </cell>
          <cell r="M1408">
            <v>7.1500000000000008E-2</v>
          </cell>
        </row>
        <row r="1409">
          <cell r="H1409">
            <v>210200051</v>
          </cell>
          <cell r="I1409" t="str">
            <v>Copo 220 ml Poli Papel</v>
          </cell>
          <cell r="J1409">
            <v>0.436453225</v>
          </cell>
          <cell r="K1409">
            <v>1</v>
          </cell>
          <cell r="L1409" t="str">
            <v>Un</v>
          </cell>
          <cell r="M1409">
            <v>0.436453225</v>
          </cell>
        </row>
        <row r="1410">
          <cell r="B1410">
            <v>100800026</v>
          </cell>
          <cell r="C1410">
            <v>1008</v>
          </cell>
          <cell r="D1410" t="str">
            <v>Sundae Kids Disqueti com Cobertura Morango</v>
          </cell>
          <cell r="E1410">
            <v>3.79645085169967</v>
          </cell>
          <cell r="F1410">
            <v>13.656298027696653</v>
          </cell>
          <cell r="G1410">
            <v>17.250357174835404</v>
          </cell>
          <cell r="H1410">
            <v>210100007</v>
          </cell>
          <cell r="I1410" t="str">
            <v>Bebida Láctea Uht Sabores</v>
          </cell>
          <cell r="J1410">
            <v>1.1458503</v>
          </cell>
          <cell r="K1410">
            <v>0.105</v>
          </cell>
          <cell r="L1410" t="str">
            <v>Lt</v>
          </cell>
          <cell r="M1410">
            <v>10.91286</v>
          </cell>
        </row>
        <row r="1411">
          <cell r="H1411">
            <v>210900002</v>
          </cell>
          <cell r="I1411" t="str">
            <v>Mini Disqueti - Dori</v>
          </cell>
          <cell r="J1411">
            <v>1.6478000000000002</v>
          </cell>
          <cell r="K1411">
            <v>2.5000000000000001E-2</v>
          </cell>
          <cell r="L1411" t="str">
            <v>Kg</v>
          </cell>
          <cell r="M1411">
            <v>65.912000000000006</v>
          </cell>
        </row>
        <row r="1412">
          <cell r="H1412">
            <v>216000009</v>
          </cell>
          <cell r="I1412" t="str">
            <v>Canudinho Biju Wafer</v>
          </cell>
          <cell r="J1412">
            <v>0.11329500000000001</v>
          </cell>
          <cell r="K1412">
            <v>3.0000000000000001E-3</v>
          </cell>
          <cell r="L1412" t="str">
            <v>Un</v>
          </cell>
          <cell r="M1412">
            <v>37.765000000000001</v>
          </cell>
        </row>
        <row r="1413">
          <cell r="H1413">
            <v>210500006</v>
          </cell>
          <cell r="I1413" t="str">
            <v>Cobertura Morango</v>
          </cell>
          <cell r="J1413">
            <v>0.19746699669966997</v>
          </cell>
          <cell r="K1413">
            <v>0.01</v>
          </cell>
          <cell r="L1413" t="str">
            <v>kg</v>
          </cell>
          <cell r="M1413">
            <v>19.746699669966997</v>
          </cell>
        </row>
        <row r="1414">
          <cell r="H1414">
            <v>210200011</v>
          </cell>
          <cell r="I1414" t="str">
            <v>Colher Grande</v>
          </cell>
          <cell r="J1414">
            <v>0.18408533000000002</v>
          </cell>
          <cell r="K1414">
            <v>1</v>
          </cell>
          <cell r="L1414" t="str">
            <v>Un</v>
          </cell>
          <cell r="M1414">
            <v>0.18408533000000002</v>
          </cell>
        </row>
        <row r="1415">
          <cell r="H1415">
            <v>220100008</v>
          </cell>
          <cell r="I1415" t="str">
            <v>Guardanapo Embalado</v>
          </cell>
          <cell r="J1415">
            <v>7.1500000000000008E-2</v>
          </cell>
          <cell r="K1415">
            <v>1</v>
          </cell>
          <cell r="L1415" t="str">
            <v>Un</v>
          </cell>
          <cell r="M1415">
            <v>7.1500000000000008E-2</v>
          </cell>
        </row>
        <row r="1416">
          <cell r="H1416">
            <v>210200051</v>
          </cell>
          <cell r="I1416" t="str">
            <v>Copo 220 ml Poli Papel</v>
          </cell>
          <cell r="J1416">
            <v>0.436453225</v>
          </cell>
          <cell r="K1416">
            <v>1</v>
          </cell>
          <cell r="L1416" t="str">
            <v>Un</v>
          </cell>
          <cell r="M1416">
            <v>0.436453225</v>
          </cell>
        </row>
        <row r="1417">
          <cell r="B1417">
            <v>100800023</v>
          </cell>
          <cell r="C1417">
            <v>1008</v>
          </cell>
          <cell r="D1417" t="str">
            <v>Sundae Kids Disqueti com Cobertura Chocolate</v>
          </cell>
          <cell r="E1417">
            <v>3.7796752741419142</v>
          </cell>
          <cell r="F1417">
            <v>13.595954223532065</v>
          </cell>
          <cell r="G1417">
            <v>17.192494154024903</v>
          </cell>
          <cell r="H1417">
            <v>210100007</v>
          </cell>
          <cell r="I1417" t="str">
            <v>Bebida Láctea Uht Sabores</v>
          </cell>
          <cell r="J1417">
            <v>1.1458503</v>
          </cell>
          <cell r="K1417">
            <v>0.105</v>
          </cell>
          <cell r="L1417" t="str">
            <v>Lt</v>
          </cell>
          <cell r="M1417">
            <v>10.91286</v>
          </cell>
        </row>
        <row r="1418">
          <cell r="H1418">
            <v>210900002</v>
          </cell>
          <cell r="I1418" t="str">
            <v>Mini Disqueti - Dori</v>
          </cell>
          <cell r="J1418">
            <v>1.6478000000000002</v>
          </cell>
          <cell r="K1418">
            <v>2.5000000000000001E-2</v>
          </cell>
          <cell r="L1418" t="str">
            <v>Kg</v>
          </cell>
          <cell r="M1418">
            <v>65.912000000000006</v>
          </cell>
        </row>
        <row r="1419">
          <cell r="H1419">
            <v>216000009</v>
          </cell>
          <cell r="I1419" t="str">
            <v>Canudinho Biju Wafer</v>
          </cell>
          <cell r="J1419">
            <v>0.11329500000000001</v>
          </cell>
          <cell r="K1419">
            <v>3.0000000000000001E-3</v>
          </cell>
          <cell r="L1419" t="str">
            <v>Un</v>
          </cell>
          <cell r="M1419">
            <v>37.765000000000001</v>
          </cell>
        </row>
        <row r="1420">
          <cell r="H1420">
            <v>210500004</v>
          </cell>
          <cell r="I1420" t="str">
            <v>Cobertura Chocolate</v>
          </cell>
          <cell r="J1420">
            <v>0.18069141914191419</v>
          </cell>
          <cell r="K1420">
            <v>0.01</v>
          </cell>
          <cell r="L1420" t="str">
            <v>kg</v>
          </cell>
          <cell r="M1420">
            <v>18.06914191419142</v>
          </cell>
        </row>
        <row r="1421">
          <cell r="H1421">
            <v>210200011</v>
          </cell>
          <cell r="I1421" t="str">
            <v>Colher Grande</v>
          </cell>
          <cell r="J1421">
            <v>0.18408533000000002</v>
          </cell>
          <cell r="K1421">
            <v>1</v>
          </cell>
          <cell r="L1421" t="str">
            <v>Un</v>
          </cell>
          <cell r="M1421">
            <v>0.18408533000000002</v>
          </cell>
        </row>
        <row r="1422">
          <cell r="H1422">
            <v>220100008</v>
          </cell>
          <cell r="I1422" t="str">
            <v>Guardanapo Embalado</v>
          </cell>
          <cell r="J1422">
            <v>7.1500000000000008E-2</v>
          </cell>
          <cell r="K1422">
            <v>1</v>
          </cell>
          <cell r="L1422" t="str">
            <v>Un</v>
          </cell>
          <cell r="M1422">
            <v>7.1500000000000008E-2</v>
          </cell>
        </row>
        <row r="1423">
          <cell r="H1423">
            <v>210200051</v>
          </cell>
          <cell r="I1423" t="str">
            <v>Copo 220 ml Poli Papel</v>
          </cell>
          <cell r="J1423">
            <v>0.436453225</v>
          </cell>
          <cell r="K1423">
            <v>1</v>
          </cell>
          <cell r="L1423" t="str">
            <v>Un</v>
          </cell>
          <cell r="M1423">
            <v>0.436453225</v>
          </cell>
        </row>
        <row r="1424">
          <cell r="B1424">
            <v>100800022</v>
          </cell>
          <cell r="C1424">
            <v>1008</v>
          </cell>
          <cell r="D1424" t="str">
            <v>Sundae Kids Brigadeiro com Cobertura Chocolate</v>
          </cell>
          <cell r="E1424">
            <v>2.4822960662211222</v>
          </cell>
          <cell r="F1424">
            <v>8.929122540363748</v>
          </cell>
          <cell r="G1424">
            <v>12.717519754569633</v>
          </cell>
          <cell r="H1424">
            <v>210100007</v>
          </cell>
          <cell r="I1424" t="str">
            <v>Bebida Láctea Uht Sabores</v>
          </cell>
          <cell r="J1424">
            <v>1.1458503</v>
          </cell>
          <cell r="K1424">
            <v>0.105</v>
          </cell>
          <cell r="L1424" t="str">
            <v>Lt</v>
          </cell>
          <cell r="M1424">
            <v>10.91286</v>
          </cell>
        </row>
        <row r="1425">
          <cell r="H1425">
            <v>210900009</v>
          </cell>
          <cell r="I1425" t="str">
            <v>Chocolate Granulado</v>
          </cell>
          <cell r="J1425">
            <v>0.35042079207920795</v>
          </cell>
          <cell r="K1425">
            <v>1.6500000000000001E-2</v>
          </cell>
          <cell r="L1425" t="str">
            <v>Kg</v>
          </cell>
          <cell r="M1425">
            <v>21.237623762376238</v>
          </cell>
        </row>
        <row r="1426">
          <cell r="H1426">
            <v>216000009</v>
          </cell>
          <cell r="I1426" t="str">
            <v>Canudinho Biju Wafer</v>
          </cell>
          <cell r="J1426">
            <v>0.11329500000000001</v>
          </cell>
          <cell r="K1426">
            <v>3.0000000000000001E-3</v>
          </cell>
          <cell r="L1426" t="str">
            <v>Un</v>
          </cell>
          <cell r="M1426">
            <v>37.765000000000001</v>
          </cell>
        </row>
        <row r="1427">
          <cell r="H1427">
            <v>210500004</v>
          </cell>
          <cell r="I1427" t="str">
            <v>Cobertura Chocolate</v>
          </cell>
          <cell r="J1427">
            <v>0.18069141914191419</v>
          </cell>
          <cell r="K1427">
            <v>0.01</v>
          </cell>
          <cell r="L1427" t="str">
            <v>kg</v>
          </cell>
          <cell r="M1427">
            <v>18.06914191419142</v>
          </cell>
        </row>
        <row r="1428">
          <cell r="H1428">
            <v>210200011</v>
          </cell>
          <cell r="I1428" t="str">
            <v>Colher Grande</v>
          </cell>
          <cell r="J1428">
            <v>0.18408533000000002</v>
          </cell>
          <cell r="K1428">
            <v>1</v>
          </cell>
          <cell r="L1428" t="str">
            <v>Un</v>
          </cell>
          <cell r="M1428">
            <v>0.18408533000000002</v>
          </cell>
        </row>
        <row r="1429">
          <cell r="H1429">
            <v>220100008</v>
          </cell>
          <cell r="I1429" t="str">
            <v>Guardanapo Embalado</v>
          </cell>
          <cell r="J1429">
            <v>7.1500000000000008E-2</v>
          </cell>
          <cell r="K1429">
            <v>1</v>
          </cell>
          <cell r="L1429" t="str">
            <v>Un</v>
          </cell>
          <cell r="M1429">
            <v>7.1500000000000008E-2</v>
          </cell>
        </row>
        <row r="1430">
          <cell r="H1430">
            <v>210200051</v>
          </cell>
          <cell r="I1430" t="str">
            <v>Copo 220 ml Poli Papel</v>
          </cell>
          <cell r="J1430">
            <v>0.436453225</v>
          </cell>
          <cell r="K1430">
            <v>1</v>
          </cell>
          <cell r="L1430" t="str">
            <v>Un</v>
          </cell>
          <cell r="M1430">
            <v>0.436453225</v>
          </cell>
        </row>
        <row r="1431">
          <cell r="B1431">
            <v>100800019</v>
          </cell>
          <cell r="C1431">
            <v>1008</v>
          </cell>
          <cell r="D1431" t="str">
            <v>Sundae Kids Brigadeiro com Cobertura Caramelo</v>
          </cell>
          <cell r="E1431">
            <v>2.4809874853630367</v>
          </cell>
          <cell r="F1431">
            <v>8.9244154149749519</v>
          </cell>
          <cell r="G1431">
            <v>12.713006142971883</v>
          </cell>
          <cell r="H1431">
            <v>210100007</v>
          </cell>
          <cell r="I1431" t="str">
            <v>Bebida Láctea Uht Sabores</v>
          </cell>
          <cell r="J1431">
            <v>1.1458503</v>
          </cell>
          <cell r="K1431">
            <v>0.105</v>
          </cell>
          <cell r="L1431" t="str">
            <v>Lt</v>
          </cell>
          <cell r="M1431">
            <v>10.91286</v>
          </cell>
        </row>
        <row r="1432">
          <cell r="H1432">
            <v>210900009</v>
          </cell>
          <cell r="I1432" t="str">
            <v>Chocolate Granulado</v>
          </cell>
          <cell r="J1432">
            <v>0.35042079207920795</v>
          </cell>
          <cell r="K1432">
            <v>1.6500000000000001E-2</v>
          </cell>
          <cell r="L1432" t="str">
            <v>Kg</v>
          </cell>
          <cell r="M1432">
            <v>21.237623762376238</v>
          </cell>
        </row>
        <row r="1433">
          <cell r="H1433">
            <v>216000009</v>
          </cell>
          <cell r="I1433" t="str">
            <v>Canudinho Biju Wafer</v>
          </cell>
          <cell r="J1433">
            <v>0.11329500000000001</v>
          </cell>
          <cell r="K1433">
            <v>3.0000000000000001E-3</v>
          </cell>
          <cell r="L1433" t="str">
            <v>Un</v>
          </cell>
          <cell r="M1433">
            <v>37.765000000000001</v>
          </cell>
        </row>
        <row r="1434">
          <cell r="H1434">
            <v>210500001</v>
          </cell>
          <cell r="I1434" t="str">
            <v>Cobertura de caramelo</v>
          </cell>
          <cell r="J1434">
            <v>0.17938283828382839</v>
          </cell>
          <cell r="K1434">
            <v>0.01</v>
          </cell>
          <cell r="L1434" t="str">
            <v>kg</v>
          </cell>
          <cell r="M1434">
            <v>17.93828382838284</v>
          </cell>
        </row>
        <row r="1435">
          <cell r="H1435">
            <v>210200011</v>
          </cell>
          <cell r="I1435" t="str">
            <v>Colher Grande</v>
          </cell>
          <cell r="J1435">
            <v>0.18408533000000002</v>
          </cell>
          <cell r="K1435">
            <v>1</v>
          </cell>
          <cell r="L1435" t="str">
            <v>Un</v>
          </cell>
          <cell r="M1435">
            <v>0.18408533000000002</v>
          </cell>
        </row>
        <row r="1436">
          <cell r="H1436">
            <v>220100008</v>
          </cell>
          <cell r="I1436" t="str">
            <v>Guardanapo Embalado</v>
          </cell>
          <cell r="J1436">
            <v>7.1500000000000008E-2</v>
          </cell>
          <cell r="K1436">
            <v>1</v>
          </cell>
          <cell r="L1436" t="str">
            <v>Un</v>
          </cell>
          <cell r="M1436">
            <v>7.1500000000000008E-2</v>
          </cell>
        </row>
        <row r="1437">
          <cell r="H1437">
            <v>210200051</v>
          </cell>
          <cell r="I1437" t="str">
            <v>Copo 220 ml Poli Papel</v>
          </cell>
          <cell r="J1437">
            <v>0.436453225</v>
          </cell>
          <cell r="K1437">
            <v>1</v>
          </cell>
          <cell r="L1437" t="str">
            <v>Un</v>
          </cell>
          <cell r="M1437">
            <v>0.436453225</v>
          </cell>
        </row>
        <row r="1438">
          <cell r="B1438">
            <v>100800025</v>
          </cell>
          <cell r="C1438">
            <v>1008</v>
          </cell>
          <cell r="D1438" t="str">
            <v>Sundae Kids Brigadeiro com Cobertura Morango</v>
          </cell>
          <cell r="E1438">
            <v>2.499071643778878</v>
          </cell>
          <cell r="F1438">
            <v>8.9894663445283367</v>
          </cell>
          <cell r="G1438">
            <v>12.775382775380136</v>
          </cell>
          <cell r="H1438">
            <v>210100007</v>
          </cell>
          <cell r="I1438" t="str">
            <v>Bebida Láctea Uht Sabores</v>
          </cell>
          <cell r="J1438">
            <v>1.1458503</v>
          </cell>
          <cell r="K1438">
            <v>0.105</v>
          </cell>
          <cell r="L1438" t="str">
            <v>Lt</v>
          </cell>
          <cell r="M1438">
            <v>10.91286</v>
          </cell>
        </row>
        <row r="1439">
          <cell r="H1439">
            <v>210900009</v>
          </cell>
          <cell r="I1439" t="str">
            <v>Chocolate Granulado</v>
          </cell>
          <cell r="J1439">
            <v>0.35042079207920795</v>
          </cell>
          <cell r="K1439">
            <v>1.6500000000000001E-2</v>
          </cell>
          <cell r="L1439" t="str">
            <v>Kg</v>
          </cell>
          <cell r="M1439">
            <v>21.237623762376238</v>
          </cell>
        </row>
        <row r="1440">
          <cell r="H1440">
            <v>216000009</v>
          </cell>
          <cell r="I1440" t="str">
            <v>Canudinho Biju Wafer</v>
          </cell>
          <cell r="J1440">
            <v>0.11329500000000001</v>
          </cell>
          <cell r="K1440">
            <v>3.0000000000000001E-3</v>
          </cell>
          <cell r="L1440" t="str">
            <v>Un</v>
          </cell>
          <cell r="M1440">
            <v>37.765000000000001</v>
          </cell>
        </row>
        <row r="1441">
          <cell r="H1441">
            <v>210500006</v>
          </cell>
          <cell r="I1441" t="str">
            <v>Cobertura morango</v>
          </cell>
          <cell r="J1441">
            <v>0.19746699669966997</v>
          </cell>
          <cell r="K1441">
            <v>0.01</v>
          </cell>
          <cell r="L1441" t="str">
            <v>kg</v>
          </cell>
          <cell r="M1441">
            <v>19.746699669966997</v>
          </cell>
        </row>
        <row r="1442">
          <cell r="H1442">
            <v>210200011</v>
          </cell>
          <cell r="I1442" t="str">
            <v>Colher Grande</v>
          </cell>
          <cell r="J1442">
            <v>0.18408533000000002</v>
          </cell>
          <cell r="K1442">
            <v>1</v>
          </cell>
          <cell r="L1442" t="str">
            <v>Un</v>
          </cell>
          <cell r="M1442">
            <v>0.18408533000000002</v>
          </cell>
        </row>
        <row r="1443">
          <cell r="H1443">
            <v>220100008</v>
          </cell>
          <cell r="I1443" t="str">
            <v>Guardanapo Embalado</v>
          </cell>
          <cell r="J1443">
            <v>7.1500000000000008E-2</v>
          </cell>
          <cell r="K1443">
            <v>1</v>
          </cell>
          <cell r="L1443" t="str">
            <v>Un</v>
          </cell>
          <cell r="M1443">
            <v>7.1500000000000008E-2</v>
          </cell>
        </row>
        <row r="1444">
          <cell r="H1444">
            <v>210200051</v>
          </cell>
          <cell r="I1444" t="str">
            <v>Copo 220 ml Poli Papel</v>
          </cell>
          <cell r="J1444">
            <v>0.436453225</v>
          </cell>
          <cell r="K1444">
            <v>1</v>
          </cell>
          <cell r="L1444" t="str">
            <v>Un</v>
          </cell>
          <cell r="M1444">
            <v>0.436453225</v>
          </cell>
        </row>
        <row r="1445">
          <cell r="B1445">
            <v>101700001</v>
          </cell>
          <cell r="C1445">
            <v>1017</v>
          </cell>
          <cell r="D1445" t="str">
            <v>Chiquinho no Pote Maracujá</v>
          </cell>
          <cell r="E1445">
            <v>14.070675846428573</v>
          </cell>
          <cell r="F1445">
            <v>50.613941893627953</v>
          </cell>
          <cell r="G1445">
            <v>53.4201985053352</v>
          </cell>
          <cell r="H1445">
            <v>210400015</v>
          </cell>
          <cell r="I1445" t="str">
            <v>Mescla de Maracujá</v>
          </cell>
          <cell r="J1445">
            <v>3.2314285714285718</v>
          </cell>
          <cell r="K1445">
            <v>0.12</v>
          </cell>
          <cell r="L1445" t="str">
            <v>Kg</v>
          </cell>
          <cell r="M1445">
            <v>26.928571428571431</v>
          </cell>
        </row>
        <row r="1446">
          <cell r="H1446">
            <v>210100001</v>
          </cell>
          <cell r="I1446" t="str">
            <v>Bebida Láctea Uht (Baunilha)</v>
          </cell>
          <cell r="J1446">
            <v>7.2570519000000004</v>
          </cell>
          <cell r="K1446">
            <v>0.66500000000000004</v>
          </cell>
          <cell r="L1446" t="str">
            <v>Lt</v>
          </cell>
          <cell r="M1446">
            <v>10.91286</v>
          </cell>
        </row>
        <row r="1447">
          <cell r="H1447">
            <v>210200001</v>
          </cell>
          <cell r="I1447" t="str">
            <v>Adesivo Pote Sobremesa</v>
          </cell>
          <cell r="J1447">
            <v>0.53305999999999998</v>
          </cell>
          <cell r="K1447">
            <v>1</v>
          </cell>
          <cell r="L1447" t="str">
            <v>Un</v>
          </cell>
          <cell r="M1447">
            <v>0.53305999999999998</v>
          </cell>
        </row>
        <row r="1448">
          <cell r="H1448">
            <v>210200033</v>
          </cell>
          <cell r="I1448" t="str">
            <v>Pote + Tampa Papel para Sobremesa</v>
          </cell>
          <cell r="J1448">
            <v>3.0491353750000001</v>
          </cell>
          <cell r="K1448">
            <v>1</v>
          </cell>
          <cell r="L1448" t="str">
            <v>Un</v>
          </cell>
          <cell r="M1448">
            <v>3.0491353750000001</v>
          </cell>
        </row>
        <row r="1449">
          <cell r="B1449">
            <v>101700003</v>
          </cell>
          <cell r="C1449">
            <v>1017</v>
          </cell>
          <cell r="D1449" t="str">
            <v>Chiquinho no Pote Frutas Vermelhas</v>
          </cell>
          <cell r="E1449">
            <v>15.160447275000003</v>
          </cell>
          <cell r="F1449">
            <v>54.533983003597129</v>
          </cell>
          <cell r="G1449">
            <v>57.179083505450507</v>
          </cell>
          <cell r="H1449">
            <v>216099999</v>
          </cell>
          <cell r="I1449" t="str">
            <v>Mescla de Frutas Vermelhas</v>
          </cell>
          <cell r="J1449">
            <v>4.3212000000000002</v>
          </cell>
          <cell r="K1449">
            <v>0.12</v>
          </cell>
          <cell r="L1449" t="str">
            <v>Kg</v>
          </cell>
          <cell r="M1449">
            <v>36.010000000000005</v>
          </cell>
        </row>
        <row r="1450">
          <cell r="H1450">
            <v>210100001</v>
          </cell>
          <cell r="I1450" t="str">
            <v>Bebida Láctea Uht (Baunilha)</v>
          </cell>
          <cell r="J1450">
            <v>7.2570519000000004</v>
          </cell>
          <cell r="K1450">
            <v>0.66500000000000004</v>
          </cell>
          <cell r="L1450" t="str">
            <v>Lt</v>
          </cell>
          <cell r="M1450">
            <v>10.91286</v>
          </cell>
        </row>
        <row r="1451">
          <cell r="H1451">
            <v>210200001</v>
          </cell>
          <cell r="I1451" t="str">
            <v>Adesivo Pote Sobremesa</v>
          </cell>
          <cell r="J1451">
            <v>0.53305999999999998</v>
          </cell>
          <cell r="K1451">
            <v>1</v>
          </cell>
          <cell r="L1451" t="str">
            <v>Un</v>
          </cell>
          <cell r="M1451">
            <v>0.53305999999999998</v>
          </cell>
        </row>
        <row r="1452">
          <cell r="H1452">
            <v>210200033</v>
          </cell>
          <cell r="I1452" t="str">
            <v>Pote + Tampa Papel para Sobremesa</v>
          </cell>
          <cell r="J1452">
            <v>3.0491353750000001</v>
          </cell>
          <cell r="K1452">
            <v>1</v>
          </cell>
          <cell r="L1452" t="str">
            <v>Un</v>
          </cell>
          <cell r="M1452">
            <v>3.0491353750000001</v>
          </cell>
        </row>
        <row r="1453">
          <cell r="B1453">
            <v>101700004</v>
          </cell>
          <cell r="C1453">
            <v>1017</v>
          </cell>
          <cell r="D1453" t="str">
            <v>Chiquinho no Pote Flocos</v>
          </cell>
          <cell r="E1453">
            <v>13.923822275000003</v>
          </cell>
          <cell r="F1453">
            <v>50.085691636690655</v>
          </cell>
          <cell r="G1453">
            <v>52.913665050352044</v>
          </cell>
          <cell r="H1453">
            <v>210900005</v>
          </cell>
          <cell r="I1453" t="str">
            <v>Stracciatella Meio Amarga</v>
          </cell>
          <cell r="J1453">
            <v>3.0845750000000001</v>
          </cell>
          <cell r="K1453">
            <v>0.1</v>
          </cell>
          <cell r="L1453" t="str">
            <v>Kg</v>
          </cell>
          <cell r="M1453">
            <v>30.845749999999999</v>
          </cell>
        </row>
        <row r="1454">
          <cell r="H1454">
            <v>210100001</v>
          </cell>
          <cell r="I1454" t="str">
            <v>Bebida Láctea Uht (Baunilha)</v>
          </cell>
          <cell r="J1454">
            <v>7.2570519000000004</v>
          </cell>
          <cell r="K1454">
            <v>0.66500000000000004</v>
          </cell>
          <cell r="L1454" t="str">
            <v>Lt</v>
          </cell>
          <cell r="M1454">
            <v>10.91286</v>
          </cell>
        </row>
        <row r="1455">
          <cell r="H1455">
            <v>210200001</v>
          </cell>
          <cell r="I1455" t="str">
            <v>Adesivo Pote Sobremesa</v>
          </cell>
          <cell r="J1455">
            <v>0.53305999999999998</v>
          </cell>
          <cell r="K1455">
            <v>1</v>
          </cell>
          <cell r="L1455" t="str">
            <v>Un</v>
          </cell>
          <cell r="M1455">
            <v>0.53305999999999998</v>
          </cell>
        </row>
        <row r="1456">
          <cell r="H1456">
            <v>210200033</v>
          </cell>
          <cell r="I1456" t="str">
            <v>Pote + Tampa Papel para Sobremesa</v>
          </cell>
          <cell r="J1456">
            <v>3.0491353750000001</v>
          </cell>
          <cell r="K1456">
            <v>1</v>
          </cell>
          <cell r="L1456" t="str">
            <v>Un</v>
          </cell>
          <cell r="M1456">
            <v>3.0491353750000001</v>
          </cell>
        </row>
        <row r="1457">
          <cell r="B1457">
            <v>101700005</v>
          </cell>
          <cell r="C1457">
            <v>1017</v>
          </cell>
          <cell r="D1457" t="str">
            <v>Chiquinho no Pote Chocolate Intenso</v>
          </cell>
          <cell r="E1457">
            <v>14.673183117857143</v>
          </cell>
          <cell r="F1457">
            <v>52.781234236896189</v>
          </cell>
          <cell r="G1457">
            <v>55.498391680212343</v>
          </cell>
          <cell r="H1457">
            <v>210900018</v>
          </cell>
          <cell r="I1457" t="str">
            <v>Trufada Chiquinho</v>
          </cell>
          <cell r="J1457">
            <v>3.3428571428571425</v>
          </cell>
          <cell r="K1457">
            <v>7.4999999999999997E-2</v>
          </cell>
          <cell r="L1457" t="str">
            <v>Kg</v>
          </cell>
          <cell r="M1457">
            <v>44.571428571428569</v>
          </cell>
        </row>
        <row r="1458">
          <cell r="H1458">
            <v>210100002</v>
          </cell>
          <cell r="I1458" t="str">
            <v>Bebida Láctea Uht (Chocolate)</v>
          </cell>
          <cell r="J1458">
            <v>7.7481305999999996</v>
          </cell>
          <cell r="K1458">
            <v>0.71</v>
          </cell>
          <cell r="L1458" t="str">
            <v>Lt</v>
          </cell>
          <cell r="M1458">
            <v>10.91286</v>
          </cell>
        </row>
        <row r="1459">
          <cell r="H1459">
            <v>210200001</v>
          </cell>
          <cell r="I1459" t="str">
            <v>Adesivo Pote Sobremesa</v>
          </cell>
          <cell r="J1459">
            <v>0.53305999999999998</v>
          </cell>
          <cell r="K1459">
            <v>1</v>
          </cell>
          <cell r="L1459" t="str">
            <v>Un</v>
          </cell>
          <cell r="M1459">
            <v>0.53305999999999998</v>
          </cell>
        </row>
        <row r="1460">
          <cell r="H1460">
            <v>210200033</v>
          </cell>
          <cell r="I1460" t="str">
            <v>Pote + Tampa Papel para Sobremesa</v>
          </cell>
          <cell r="J1460">
            <v>3.0491353750000001</v>
          </cell>
          <cell r="K1460">
            <v>1</v>
          </cell>
          <cell r="L1460" t="str">
            <v>Un</v>
          </cell>
          <cell r="M1460">
            <v>3.0491353750000001</v>
          </cell>
        </row>
        <row r="1461">
          <cell r="B1461">
            <v>101700006</v>
          </cell>
          <cell r="C1461">
            <v>1017</v>
          </cell>
          <cell r="D1461" t="str">
            <v>Chiquinho no Pote Morango</v>
          </cell>
          <cell r="E1461">
            <v>14.703590132142859</v>
          </cell>
          <cell r="F1461">
            <v>52.890611986125386</v>
          </cell>
          <cell r="G1461">
            <v>55.603272820330595</v>
          </cell>
          <cell r="H1461">
            <v>210400016</v>
          </cell>
          <cell r="I1461" t="str">
            <v>Mescla de Morango</v>
          </cell>
          <cell r="J1461">
            <v>3.8643428571428569</v>
          </cell>
          <cell r="K1461">
            <v>0.12</v>
          </cell>
          <cell r="L1461" t="str">
            <v>Kg</v>
          </cell>
          <cell r="M1461">
            <v>32.202857142857141</v>
          </cell>
        </row>
        <row r="1462">
          <cell r="H1462">
            <v>210100001</v>
          </cell>
          <cell r="I1462" t="str">
            <v>Bebida Láctea Uht (Baunilha)</v>
          </cell>
          <cell r="J1462">
            <v>7.2570519000000004</v>
          </cell>
          <cell r="K1462">
            <v>0.66500000000000004</v>
          </cell>
          <cell r="L1462" t="str">
            <v>Lt</v>
          </cell>
          <cell r="M1462">
            <v>10.91286</v>
          </cell>
        </row>
        <row r="1463">
          <cell r="H1463">
            <v>210200001</v>
          </cell>
          <cell r="I1463" t="str">
            <v>Adesivo Pote Sobremesa</v>
          </cell>
          <cell r="J1463">
            <v>0.53305999999999998</v>
          </cell>
          <cell r="K1463">
            <v>1</v>
          </cell>
          <cell r="L1463" t="str">
            <v>Un</v>
          </cell>
          <cell r="M1463">
            <v>0.53305999999999998</v>
          </cell>
        </row>
        <row r="1464">
          <cell r="H1464">
            <v>210200033</v>
          </cell>
          <cell r="I1464" t="str">
            <v>Pote + Tampa Papel para Sobremesa</v>
          </cell>
          <cell r="J1464">
            <v>3.0491353750000001</v>
          </cell>
          <cell r="K1464">
            <v>1</v>
          </cell>
          <cell r="L1464" t="str">
            <v>Un</v>
          </cell>
          <cell r="M1464">
            <v>3.0491353750000001</v>
          </cell>
        </row>
        <row r="1465">
          <cell r="B1465">
            <v>101700007</v>
          </cell>
          <cell r="C1465">
            <v>1017</v>
          </cell>
          <cell r="D1465" t="str">
            <v>Chiquinho no Pote Baunilha</v>
          </cell>
          <cell r="E1465">
            <v>10.293604275</v>
          </cell>
          <cell r="F1465">
            <v>37.027353507194242</v>
          </cell>
          <cell r="G1465">
            <v>40.392165927149257</v>
          </cell>
          <cell r="H1465">
            <v>210100001</v>
          </cell>
          <cell r="I1465" t="str">
            <v>Bebida Láctea Uht (Baunilha)</v>
          </cell>
          <cell r="J1465">
            <v>6.7114089000000003</v>
          </cell>
          <cell r="K1465">
            <v>0.61499999999999999</v>
          </cell>
          <cell r="L1465" t="str">
            <v>Lt</v>
          </cell>
          <cell r="M1465">
            <v>10.91286</v>
          </cell>
        </row>
        <row r="1466">
          <cell r="H1466">
            <v>210200001</v>
          </cell>
          <cell r="I1466" t="str">
            <v>Adesivo Pote Sobremesa</v>
          </cell>
          <cell r="J1466">
            <v>0.53305999999999998</v>
          </cell>
          <cell r="K1466">
            <v>1</v>
          </cell>
          <cell r="L1466" t="str">
            <v>Un</v>
          </cell>
          <cell r="M1466">
            <v>0.53305999999999998</v>
          </cell>
        </row>
        <row r="1467">
          <cell r="H1467">
            <v>210200033</v>
          </cell>
          <cell r="I1467" t="str">
            <v>Pote + Tampa Papel para Sobremesa</v>
          </cell>
          <cell r="J1467">
            <v>3.0491353750000001</v>
          </cell>
          <cell r="K1467">
            <v>1</v>
          </cell>
          <cell r="L1467" t="str">
            <v>Un</v>
          </cell>
          <cell r="M1467">
            <v>3.0491353750000001</v>
          </cell>
        </row>
        <row r="1468">
          <cell r="B1468">
            <v>101700008</v>
          </cell>
          <cell r="C1468">
            <v>1017</v>
          </cell>
          <cell r="D1468" t="str">
            <v>Chiquinho no Pote Chocolate</v>
          </cell>
          <cell r="E1468">
            <v>11.112068775000001</v>
          </cell>
          <cell r="F1468">
            <v>39.971470413669067</v>
          </cell>
          <cell r="G1468">
            <v>43.215247769375431</v>
          </cell>
          <cell r="H1468">
            <v>210100002</v>
          </cell>
          <cell r="I1468" t="str">
            <v>Bebida Láctea Uht (Chocolate)</v>
          </cell>
          <cell r="J1468">
            <v>7.5298733999999996</v>
          </cell>
          <cell r="K1468">
            <v>0.69</v>
          </cell>
          <cell r="L1468" t="str">
            <v>Lt</v>
          </cell>
          <cell r="M1468">
            <v>10.91286</v>
          </cell>
        </row>
        <row r="1469">
          <cell r="H1469">
            <v>210200001</v>
          </cell>
          <cell r="I1469" t="str">
            <v>Adesivo Pote Sobremesa</v>
          </cell>
          <cell r="J1469">
            <v>0.53305999999999998</v>
          </cell>
          <cell r="K1469">
            <v>1</v>
          </cell>
          <cell r="L1469" t="str">
            <v>Un</v>
          </cell>
          <cell r="M1469">
            <v>0.53305999999999998</v>
          </cell>
        </row>
        <row r="1470">
          <cell r="H1470">
            <v>210200033</v>
          </cell>
          <cell r="I1470" t="str">
            <v>Pote + Tampa Papel para Sobremesa</v>
          </cell>
          <cell r="J1470">
            <v>3.0491353750000001</v>
          </cell>
          <cell r="K1470">
            <v>1</v>
          </cell>
          <cell r="L1470" t="str">
            <v>Un</v>
          </cell>
          <cell r="M1470">
            <v>3.0491353750000001</v>
          </cell>
        </row>
        <row r="1471">
          <cell r="B1471">
            <v>101700009</v>
          </cell>
          <cell r="C1471">
            <v>1017</v>
          </cell>
          <cell r="D1471" t="str">
            <v>Chiquinho no Pote Misto</v>
          </cell>
          <cell r="E1471">
            <v>11.112068775000001</v>
          </cell>
          <cell r="F1471">
            <v>39.971470413669067</v>
          </cell>
          <cell r="G1471">
            <v>43.215247769375431</v>
          </cell>
          <cell r="H1471">
            <v>210100001</v>
          </cell>
          <cell r="I1471" t="str">
            <v>Bebida Láctea Uht (Baunilha)</v>
          </cell>
          <cell r="J1471">
            <v>3.7649366999999998</v>
          </cell>
          <cell r="K1471">
            <v>0.34499999999999997</v>
          </cell>
          <cell r="L1471" t="str">
            <v>Lt</v>
          </cell>
          <cell r="M1471">
            <v>10.91286</v>
          </cell>
        </row>
        <row r="1472">
          <cell r="H1472">
            <v>210100002</v>
          </cell>
          <cell r="I1472" t="str">
            <v>Bebida Láctea Uht (Chocolate)</v>
          </cell>
          <cell r="J1472">
            <v>3.7649366999999998</v>
          </cell>
          <cell r="K1472">
            <v>0.34499999999999997</v>
          </cell>
          <cell r="L1472" t="str">
            <v>Lt</v>
          </cell>
          <cell r="M1472">
            <v>10.91286</v>
          </cell>
        </row>
        <row r="1473">
          <cell r="H1473">
            <v>210200001</v>
          </cell>
          <cell r="I1473" t="str">
            <v>Adesivo Pote Sobremesa</v>
          </cell>
          <cell r="J1473">
            <v>0.53305999999999998</v>
          </cell>
          <cell r="K1473">
            <v>1</v>
          </cell>
          <cell r="L1473" t="str">
            <v>Un</v>
          </cell>
          <cell r="M1473">
            <v>0.53305999999999998</v>
          </cell>
        </row>
        <row r="1474">
          <cell r="H1474">
            <v>210200033</v>
          </cell>
          <cell r="I1474" t="str">
            <v>Pote + Tampa Papel para Sobremesa</v>
          </cell>
          <cell r="J1474">
            <v>3.0491353750000001</v>
          </cell>
          <cell r="K1474">
            <v>1</v>
          </cell>
          <cell r="L1474" t="str">
            <v>Un</v>
          </cell>
          <cell r="M1474">
            <v>3.0491353750000001</v>
          </cell>
        </row>
        <row r="1475">
          <cell r="B1475">
            <v>101700011</v>
          </cell>
          <cell r="C1475">
            <v>1017</v>
          </cell>
          <cell r="D1475" t="str">
            <v>Chiquinho no Pote Ninho c/ Nutella</v>
          </cell>
          <cell r="E1475">
            <v>17.539744774999999</v>
          </cell>
          <cell r="F1475">
            <v>63.092607104316535</v>
          </cell>
          <cell r="G1475">
            <v>65.385855539551088</v>
          </cell>
          <cell r="H1475">
            <v>216000017</v>
          </cell>
          <cell r="I1475" t="str">
            <v>Leite em Pó Ninho</v>
          </cell>
          <cell r="J1475">
            <v>3.7136</v>
          </cell>
          <cell r="K1475">
            <v>0.06</v>
          </cell>
          <cell r="L1475" t="str">
            <v>Kg</v>
          </cell>
          <cell r="M1475">
            <v>61.893333333333338</v>
          </cell>
        </row>
        <row r="1476">
          <cell r="H1476">
            <v>216000050</v>
          </cell>
          <cell r="I1476" t="str">
            <v>Nutella</v>
          </cell>
          <cell r="J1476">
            <v>3.8053620000000001</v>
          </cell>
          <cell r="K1476">
            <v>5.3999999999999999E-2</v>
          </cell>
          <cell r="L1476" t="str">
            <v>kg</v>
          </cell>
          <cell r="M1476">
            <v>70.469666666666669</v>
          </cell>
        </row>
        <row r="1477">
          <cell r="H1477">
            <v>210100001</v>
          </cell>
          <cell r="I1477" t="str">
            <v>Bebida Láctea Uht (Baunilha)</v>
          </cell>
          <cell r="J1477">
            <v>6.4385873999999994</v>
          </cell>
          <cell r="K1477">
            <v>0.59</v>
          </cell>
          <cell r="L1477" t="str">
            <v>Lt</v>
          </cell>
          <cell r="M1477">
            <v>10.91286</v>
          </cell>
        </row>
        <row r="1478">
          <cell r="H1478">
            <v>210200001</v>
          </cell>
          <cell r="I1478" t="str">
            <v>Adesivo Pote Sobremesa</v>
          </cell>
          <cell r="J1478">
            <v>0.53305999999999998</v>
          </cell>
          <cell r="K1478">
            <v>1</v>
          </cell>
          <cell r="L1478" t="str">
            <v>Un</v>
          </cell>
          <cell r="M1478">
            <v>0.53305999999999998</v>
          </cell>
        </row>
        <row r="1479">
          <cell r="H1479">
            <v>210200033</v>
          </cell>
          <cell r="I1479" t="str">
            <v>Pote + Tampa Papel para Sobremesa</v>
          </cell>
          <cell r="J1479">
            <v>3.0491353750000001</v>
          </cell>
          <cell r="K1479">
            <v>1</v>
          </cell>
          <cell r="L1479" t="str">
            <v>Un</v>
          </cell>
          <cell r="M1479">
            <v>3.0491353750000001</v>
          </cell>
        </row>
        <row r="1480">
          <cell r="B1480">
            <v>101700012</v>
          </cell>
          <cell r="C1480">
            <v>1017</v>
          </cell>
          <cell r="D1480" t="str">
            <v>Chiquinho no Pote Ninho Trufado</v>
          </cell>
          <cell r="E1480">
            <v>16.067482860714286</v>
          </cell>
          <cell r="F1480">
            <v>57.796700937821164</v>
          </cell>
          <cell r="G1480">
            <v>60.307668425484266</v>
          </cell>
          <cell r="H1480">
            <v>216000017</v>
          </cell>
          <cell r="I1480" t="str">
            <v>Leite em Pó Ninho</v>
          </cell>
          <cell r="J1480">
            <v>3.7136</v>
          </cell>
          <cell r="K1480">
            <v>0.06</v>
          </cell>
          <cell r="L1480" t="str">
            <v>Kg</v>
          </cell>
          <cell r="M1480">
            <v>61.893333333333338</v>
          </cell>
        </row>
        <row r="1481">
          <cell r="H1481">
            <v>210900018</v>
          </cell>
          <cell r="I1481" t="str">
            <v>Trufada Chiquinho</v>
          </cell>
          <cell r="J1481">
            <v>2.0057142857142853</v>
          </cell>
          <cell r="K1481">
            <v>4.4999999999999998E-2</v>
          </cell>
          <cell r="L1481" t="str">
            <v>kg</v>
          </cell>
          <cell r="M1481">
            <v>44.571428571428569</v>
          </cell>
        </row>
        <row r="1482">
          <cell r="H1482">
            <v>210100001</v>
          </cell>
          <cell r="I1482" t="str">
            <v>Bebida Láctea Uht (Baunilha)</v>
          </cell>
          <cell r="J1482">
            <v>6.7659732000000004</v>
          </cell>
          <cell r="K1482">
            <v>0.62</v>
          </cell>
          <cell r="L1482" t="str">
            <v>Lt</v>
          </cell>
          <cell r="M1482">
            <v>10.91286</v>
          </cell>
        </row>
        <row r="1483">
          <cell r="H1483">
            <v>210200001</v>
          </cell>
          <cell r="I1483" t="str">
            <v>Adesivo Pote Sobremesa</v>
          </cell>
          <cell r="J1483">
            <v>0.53305999999999998</v>
          </cell>
          <cell r="K1483">
            <v>1</v>
          </cell>
          <cell r="L1483" t="str">
            <v>Un</v>
          </cell>
          <cell r="M1483">
            <v>0.53305999999999998</v>
          </cell>
        </row>
        <row r="1484">
          <cell r="H1484">
            <v>210200033</v>
          </cell>
          <cell r="I1484" t="str">
            <v>Pote + Tampa Papel para Sobremesa</v>
          </cell>
          <cell r="J1484">
            <v>3.0491353750000001</v>
          </cell>
          <cell r="K1484">
            <v>1</v>
          </cell>
          <cell r="L1484" t="str">
            <v>Un</v>
          </cell>
          <cell r="M1484">
            <v>3.0491353750000001</v>
          </cell>
        </row>
        <row r="1485">
          <cell r="B1485">
            <v>101700013</v>
          </cell>
          <cell r="C1485">
            <v>1017</v>
          </cell>
          <cell r="D1485" t="str">
            <v>Chiquinho no Pote Doce de Leite</v>
          </cell>
          <cell r="E1485">
            <v>13.619796608333335</v>
          </cell>
          <cell r="F1485">
            <v>48.992074130695443</v>
          </cell>
          <cell r="G1485">
            <v>51.865007058298168</v>
          </cell>
          <cell r="H1485">
            <v>216000015</v>
          </cell>
          <cell r="I1485" t="str">
            <v>Doce de Leite</v>
          </cell>
          <cell r="J1485">
            <v>3.053370833333334</v>
          </cell>
          <cell r="K1485">
            <v>0.14000000000000001</v>
          </cell>
          <cell r="L1485" t="str">
            <v>Kg</v>
          </cell>
          <cell r="M1485">
            <v>21.809791666666669</v>
          </cell>
        </row>
        <row r="1486">
          <cell r="H1486">
            <v>210100001</v>
          </cell>
          <cell r="I1486" t="str">
            <v>Bebida Láctea Uht (Baunilha)</v>
          </cell>
          <cell r="J1486">
            <v>6.9842304000000004</v>
          </cell>
          <cell r="K1486">
            <v>0.64</v>
          </cell>
          <cell r="L1486" t="str">
            <v>Lt</v>
          </cell>
          <cell r="M1486">
            <v>10.91286</v>
          </cell>
        </row>
        <row r="1487">
          <cell r="H1487">
            <v>210200001</v>
          </cell>
          <cell r="I1487" t="str">
            <v>Adesivo Pote Sobremesa</v>
          </cell>
          <cell r="J1487">
            <v>0.53305999999999998</v>
          </cell>
          <cell r="K1487">
            <v>1</v>
          </cell>
          <cell r="L1487" t="str">
            <v>Un</v>
          </cell>
          <cell r="M1487">
            <v>0.53305999999999998</v>
          </cell>
        </row>
        <row r="1488">
          <cell r="H1488">
            <v>210200033</v>
          </cell>
          <cell r="I1488" t="str">
            <v>Pote + Tampa Papel para Sobremesa</v>
          </cell>
          <cell r="J1488">
            <v>3.0491353750000001</v>
          </cell>
          <cell r="K1488">
            <v>1</v>
          </cell>
          <cell r="L1488" t="str">
            <v>Un</v>
          </cell>
          <cell r="M1488">
            <v>3.0491353750000001</v>
          </cell>
        </row>
        <row r="1489">
          <cell r="B1489">
            <v>101700014</v>
          </cell>
          <cell r="C1489">
            <v>1017</v>
          </cell>
          <cell r="D1489" t="str">
            <v>Chiquinho no Pote Limão com Leite Moça</v>
          </cell>
          <cell r="E1489">
            <v>14.599605559810128</v>
          </cell>
          <cell r="F1489">
            <v>52.51656676190693</v>
          </cell>
          <cell r="G1489">
            <v>55.244604902511078</v>
          </cell>
          <cell r="H1489">
            <v>216000013</v>
          </cell>
          <cell r="I1489" t="str">
            <v>Leite Condensado</v>
          </cell>
          <cell r="J1489">
            <v>3.9338227848101268</v>
          </cell>
          <cell r="K1489">
            <v>0.14000000000000001</v>
          </cell>
          <cell r="L1489" t="str">
            <v>Kg</v>
          </cell>
          <cell r="M1489">
            <v>28.098734177215189</v>
          </cell>
        </row>
        <row r="1490">
          <cell r="H1490">
            <v>216000056</v>
          </cell>
          <cell r="I1490" t="str">
            <v>Limão-taiti</v>
          </cell>
          <cell r="J1490">
            <v>0.64500000000000002</v>
          </cell>
          <cell r="K1490">
            <v>0.215</v>
          </cell>
          <cell r="L1490" t="str">
            <v>Kg</v>
          </cell>
          <cell r="M1490">
            <v>3</v>
          </cell>
        </row>
        <row r="1491">
          <cell r="H1491">
            <v>210100001</v>
          </cell>
          <cell r="I1491" t="str">
            <v>Bebida Láctea Uht (Baunilha)</v>
          </cell>
          <cell r="J1491">
            <v>6.4385873999999994</v>
          </cell>
          <cell r="K1491">
            <v>0.59</v>
          </cell>
          <cell r="L1491" t="str">
            <v>Lt</v>
          </cell>
          <cell r="M1491">
            <v>10.91286</v>
          </cell>
        </row>
        <row r="1492">
          <cell r="H1492">
            <v>210200001</v>
          </cell>
          <cell r="I1492" t="str">
            <v>Adesivo Pote Sobremesa</v>
          </cell>
          <cell r="J1492">
            <v>0.53305999999999998</v>
          </cell>
          <cell r="K1492">
            <v>1</v>
          </cell>
          <cell r="L1492" t="str">
            <v>Un</v>
          </cell>
          <cell r="M1492">
            <v>0.53305999999999998</v>
          </cell>
        </row>
        <row r="1493">
          <cell r="H1493">
            <v>210200033</v>
          </cell>
          <cell r="I1493" t="str">
            <v>Pote + Tampa Papel para Sobremesa</v>
          </cell>
          <cell r="J1493">
            <v>3.0491353750000001</v>
          </cell>
          <cell r="K1493">
            <v>1</v>
          </cell>
          <cell r="L1493" t="str">
            <v>Un</v>
          </cell>
          <cell r="M1493">
            <v>3.0491353750000001</v>
          </cell>
        </row>
        <row r="1494">
          <cell r="B1494">
            <v>100800016</v>
          </cell>
          <cell r="C1494">
            <v>1201</v>
          </cell>
          <cell r="D1494" t="str">
            <v xml:space="preserve">Sundae Ovomaltine </v>
          </cell>
          <cell r="E1494">
            <v>2.5954413599504949</v>
          </cell>
          <cell r="F1494">
            <v>9.3361199998219231</v>
          </cell>
          <cell r="G1494">
            <v>12.503374599889677</v>
          </cell>
          <cell r="H1494">
            <v>210500001</v>
          </cell>
          <cell r="I1494" t="str">
            <v>Cobertura de Caramelo</v>
          </cell>
          <cell r="J1494">
            <v>0.17938283828382839</v>
          </cell>
          <cell r="K1494">
            <v>0.01</v>
          </cell>
          <cell r="L1494" t="str">
            <v>Kg</v>
          </cell>
          <cell r="M1494">
            <v>17.93828382838284</v>
          </cell>
        </row>
        <row r="1495">
          <cell r="H1495">
            <v>210100007</v>
          </cell>
          <cell r="I1495" t="str">
            <v>Bebida Láctea Uht Sabores</v>
          </cell>
          <cell r="J1495">
            <v>1.1458503</v>
          </cell>
          <cell r="K1495">
            <v>0.105</v>
          </cell>
          <cell r="L1495" t="str">
            <v>Lt</v>
          </cell>
          <cell r="M1495">
            <v>10.91286</v>
          </cell>
        </row>
        <row r="1496">
          <cell r="H1496">
            <v>210900004</v>
          </cell>
          <cell r="I1496" t="str">
            <v>Ovomaltine</v>
          </cell>
          <cell r="J1496">
            <v>0.46487466666666666</v>
          </cell>
          <cell r="K1496">
            <v>1.2E-2</v>
          </cell>
          <cell r="L1496" t="str">
            <v>Kg</v>
          </cell>
          <cell r="M1496">
            <v>38.739555555555555</v>
          </cell>
        </row>
        <row r="1497">
          <cell r="H1497">
            <v>216000009</v>
          </cell>
          <cell r="I1497" t="str">
            <v>Canudinho Biju Wafer</v>
          </cell>
          <cell r="J1497">
            <v>0.11329500000000001</v>
          </cell>
          <cell r="K1497">
            <v>3.0000000000000001E-3</v>
          </cell>
          <cell r="L1497" t="str">
            <v>Un</v>
          </cell>
          <cell r="M1497">
            <v>37.765000000000001</v>
          </cell>
        </row>
        <row r="1498">
          <cell r="H1498">
            <v>210200011</v>
          </cell>
          <cell r="I1498" t="str">
            <v>Colher Grande</v>
          </cell>
          <cell r="J1498">
            <v>0.18408533000000002</v>
          </cell>
          <cell r="K1498">
            <v>1</v>
          </cell>
          <cell r="L1498" t="str">
            <v>Un</v>
          </cell>
          <cell r="M1498">
            <v>0.18408533000000002</v>
          </cell>
        </row>
        <row r="1499">
          <cell r="H1499">
            <v>220100008</v>
          </cell>
          <cell r="I1499" t="str">
            <v>Guardanapo Embalado</v>
          </cell>
          <cell r="J1499">
            <v>7.1500000000000008E-2</v>
          </cell>
          <cell r="K1499">
            <v>1</v>
          </cell>
          <cell r="L1499" t="str">
            <v>Un</v>
          </cell>
          <cell r="M1499">
            <v>7.1500000000000008E-2</v>
          </cell>
        </row>
        <row r="1500">
          <cell r="H1500">
            <v>210200051</v>
          </cell>
          <cell r="I1500" t="str">
            <v>Copo 220 ml Poli Papel</v>
          </cell>
          <cell r="J1500">
            <v>0.436453225</v>
          </cell>
          <cell r="K1500">
            <v>1</v>
          </cell>
          <cell r="L1500" t="str">
            <v>Un</v>
          </cell>
          <cell r="M1500">
            <v>0.436453225</v>
          </cell>
        </row>
        <row r="1501">
          <cell r="B1501">
            <v>100100032</v>
          </cell>
          <cell r="C1501">
            <v>1201</v>
          </cell>
          <cell r="D1501" t="str">
            <v>Casquinha Trufada Ovomaltine</v>
          </cell>
          <cell r="E1501">
            <v>2.479201309833333</v>
          </cell>
          <cell r="F1501">
            <v>8.9179903231414848</v>
          </cell>
          <cell r="G1501">
            <v>12.102434577658755</v>
          </cell>
          <cell r="H1501">
            <v>210100007</v>
          </cell>
          <cell r="I1501" t="str">
            <v>Bebida Láctea Uht sabores</v>
          </cell>
          <cell r="J1501">
            <v>0.84029021999999998</v>
          </cell>
          <cell r="K1501">
            <v>7.6999999999999999E-2</v>
          </cell>
          <cell r="L1501" t="str">
            <v>Kg</v>
          </cell>
          <cell r="M1501">
            <v>10.91286</v>
          </cell>
        </row>
        <row r="1502">
          <cell r="H1502">
            <v>216000039</v>
          </cell>
          <cell r="I1502" t="str">
            <v>Creme Crocante</v>
          </cell>
          <cell r="J1502">
            <v>1.0437899999999998</v>
          </cell>
          <cell r="K1502">
            <v>1.7999999999999999E-2</v>
          </cell>
          <cell r="L1502" t="str">
            <v>Kg</v>
          </cell>
          <cell r="M1502">
            <v>57.98833333333333</v>
          </cell>
        </row>
        <row r="1503">
          <cell r="H1503">
            <v>210900004</v>
          </cell>
          <cell r="I1503" t="str">
            <v>Ovomaltine</v>
          </cell>
          <cell r="J1503">
            <v>5.8109333333333332E-2</v>
          </cell>
          <cell r="K1503">
            <v>1.5E-3</v>
          </cell>
          <cell r="L1503" t="str">
            <v>Kg</v>
          </cell>
          <cell r="M1503">
            <v>38.739555555555555</v>
          </cell>
        </row>
        <row r="1504">
          <cell r="H1504">
            <v>211100002</v>
          </cell>
          <cell r="I1504" t="str">
            <v>Casquinha Biscoito Doce Baunilha</v>
          </cell>
          <cell r="J1504">
            <v>0.31395000000000006</v>
          </cell>
          <cell r="K1504">
            <v>1</v>
          </cell>
          <cell r="L1504" t="str">
            <v>Un</v>
          </cell>
          <cell r="M1504">
            <v>0.31395000000000006</v>
          </cell>
        </row>
        <row r="1505">
          <cell r="H1505">
            <v>210200037</v>
          </cell>
          <cell r="I1505" t="str">
            <v>Chiquinho - Cone Protetor</v>
          </cell>
          <cell r="J1505">
            <v>5.4000000000000006E-2</v>
          </cell>
          <cell r="K1505">
            <v>1</v>
          </cell>
          <cell r="L1505" t="str">
            <v>Un</v>
          </cell>
          <cell r="M1505">
            <v>5.4000000000000006E-2</v>
          </cell>
        </row>
        <row r="1506">
          <cell r="H1506">
            <v>220100008</v>
          </cell>
          <cell r="I1506" t="str">
            <v>Guardanapo Embalado</v>
          </cell>
          <cell r="J1506">
            <v>7.1500000000000008E-2</v>
          </cell>
          <cell r="K1506">
            <v>1</v>
          </cell>
          <cell r="L1506" t="str">
            <v>Un</v>
          </cell>
          <cell r="M1506">
            <v>7.1500000000000008E-2</v>
          </cell>
        </row>
        <row r="1507">
          <cell r="H1507">
            <v>210200012</v>
          </cell>
          <cell r="I1507" t="str">
            <v>Colher Pequena</v>
          </cell>
          <cell r="J1507">
            <v>9.7561756500000013E-2</v>
          </cell>
          <cell r="K1507">
            <v>1</v>
          </cell>
          <cell r="L1507" t="str">
            <v>Un</v>
          </cell>
          <cell r="M1507">
            <v>9.7561756500000013E-2</v>
          </cell>
        </row>
        <row r="1508">
          <cell r="B1508">
            <v>100200067</v>
          </cell>
          <cell r="C1508">
            <v>1201</v>
          </cell>
          <cell r="D1508" t="str">
            <v>Cascao Trufado Ovomaltine</v>
          </cell>
          <cell r="E1508">
            <v>2.9874382764999998</v>
          </cell>
          <cell r="F1508">
            <v>10.746180850719423</v>
          </cell>
          <cell r="G1508">
            <v>13.855466691018313</v>
          </cell>
          <cell r="H1508">
            <v>210100007</v>
          </cell>
          <cell r="I1508" t="str">
            <v>Bebida Láctea Uht sabores</v>
          </cell>
          <cell r="J1508">
            <v>0.8948545200000001</v>
          </cell>
          <cell r="K1508">
            <v>8.2000000000000003E-2</v>
          </cell>
          <cell r="L1508" t="str">
            <v>Lt</v>
          </cell>
          <cell r="M1508">
            <v>10.91286</v>
          </cell>
        </row>
        <row r="1509">
          <cell r="H1509">
            <v>216000039</v>
          </cell>
          <cell r="I1509" t="str">
            <v>Creme Crocante</v>
          </cell>
          <cell r="J1509">
            <v>1.1597666666666666</v>
          </cell>
          <cell r="K1509">
            <v>0.02</v>
          </cell>
          <cell r="L1509" t="str">
            <v>Kg</v>
          </cell>
          <cell r="M1509">
            <v>57.98833333333333</v>
          </cell>
        </row>
        <row r="1510">
          <cell r="H1510">
            <v>210900004</v>
          </cell>
          <cell r="I1510" t="str">
            <v>Ovomaltine</v>
          </cell>
          <cell r="J1510">
            <v>0.11621866666666666</v>
          </cell>
          <cell r="K1510">
            <v>3.0000000000000001E-3</v>
          </cell>
          <cell r="L1510" t="str">
            <v>Kg</v>
          </cell>
          <cell r="M1510">
            <v>38.739555555555555</v>
          </cell>
        </row>
        <row r="1511">
          <cell r="H1511">
            <v>216000009</v>
          </cell>
          <cell r="I1511" t="str">
            <v>Canudinho Biju Wafer</v>
          </cell>
          <cell r="J1511">
            <v>0.11329500000000001</v>
          </cell>
          <cell r="K1511">
            <v>3.0000000000000001E-3</v>
          </cell>
          <cell r="L1511" t="str">
            <v>Un</v>
          </cell>
          <cell r="M1511">
            <v>37.765000000000001</v>
          </cell>
        </row>
        <row r="1512">
          <cell r="H1512">
            <v>211100001</v>
          </cell>
          <cell r="I1512" t="str">
            <v>Cascão Tradicional Baunilha</v>
          </cell>
          <cell r="J1512">
            <v>0.48024166666666668</v>
          </cell>
          <cell r="K1512">
            <v>1</v>
          </cell>
          <cell r="L1512" t="str">
            <v>Un</v>
          </cell>
          <cell r="M1512">
            <v>0.48024166666666668</v>
          </cell>
        </row>
        <row r="1513">
          <cell r="H1513">
            <v>210200037</v>
          </cell>
          <cell r="I1513" t="str">
            <v>Chiquinho - Cone Protetor</v>
          </cell>
          <cell r="J1513">
            <v>5.4000000000000006E-2</v>
          </cell>
          <cell r="K1513">
            <v>1</v>
          </cell>
          <cell r="L1513" t="str">
            <v>Un</v>
          </cell>
          <cell r="M1513">
            <v>5.4000000000000006E-2</v>
          </cell>
        </row>
        <row r="1514">
          <cell r="H1514">
            <v>220100008</v>
          </cell>
          <cell r="I1514" t="str">
            <v>Guardanapo Embalado</v>
          </cell>
          <cell r="J1514">
            <v>7.1500000000000008E-2</v>
          </cell>
          <cell r="K1514">
            <v>1</v>
          </cell>
          <cell r="L1514" t="str">
            <v>Un</v>
          </cell>
          <cell r="M1514">
            <v>7.1500000000000008E-2</v>
          </cell>
        </row>
        <row r="1515">
          <cell r="H1515">
            <v>210200012</v>
          </cell>
          <cell r="I1515" t="str">
            <v>Colher Pequena</v>
          </cell>
          <cell r="J1515">
            <v>9.7561756500000013E-2</v>
          </cell>
          <cell r="K1515">
            <v>1</v>
          </cell>
          <cell r="L1515" t="str">
            <v>Un</v>
          </cell>
          <cell r="M1515">
            <v>9.7561756500000013E-2</v>
          </cell>
        </row>
        <row r="1516">
          <cell r="B1516">
            <v>100700017</v>
          </cell>
          <cell r="C1516">
            <v>1201</v>
          </cell>
          <cell r="D1516" t="str">
            <v>Ovomaltine Mix</v>
          </cell>
          <cell r="E1516">
            <v>4.3516718466666662</v>
          </cell>
          <cell r="F1516">
            <v>15.653495851318942</v>
          </cell>
          <cell r="G1516">
            <v>18.561037941198251</v>
          </cell>
          <cell r="H1516">
            <v>216000039</v>
          </cell>
          <cell r="I1516" t="str">
            <v>Creme Crocante</v>
          </cell>
          <cell r="J1516">
            <v>1.0437899999999998</v>
          </cell>
          <cell r="K1516">
            <v>1.7999999999999999E-2</v>
          </cell>
          <cell r="L1516" t="str">
            <v>Kg</v>
          </cell>
          <cell r="M1516">
            <v>57.98833333333333</v>
          </cell>
        </row>
        <row r="1517">
          <cell r="H1517">
            <v>210100001</v>
          </cell>
          <cell r="I1517" t="str">
            <v>Bebida Láctea Uht (Baunilha)</v>
          </cell>
          <cell r="J1517">
            <v>2.1280076999999999</v>
          </cell>
          <cell r="K1517">
            <v>0.19500000000000001</v>
          </cell>
          <cell r="L1517" t="str">
            <v>Lt</v>
          </cell>
          <cell r="M1517">
            <v>10.91286</v>
          </cell>
        </row>
        <row r="1518">
          <cell r="H1518">
            <v>210900004</v>
          </cell>
          <cell r="I1518" t="str">
            <v>Ovomaltine</v>
          </cell>
          <cell r="J1518">
            <v>0.46487466666666666</v>
          </cell>
          <cell r="K1518">
            <v>1.2E-2</v>
          </cell>
          <cell r="L1518" t="str">
            <v>Kg</v>
          </cell>
          <cell r="M1518">
            <v>38.739555555555555</v>
          </cell>
        </row>
        <row r="1519">
          <cell r="H1519">
            <v>210200011</v>
          </cell>
          <cell r="I1519" t="str">
            <v>Colher Grande</v>
          </cell>
          <cell r="J1519">
            <v>0.18408533000000002</v>
          </cell>
          <cell r="K1519">
            <v>1</v>
          </cell>
          <cell r="L1519" t="str">
            <v>Un</v>
          </cell>
          <cell r="M1519">
            <v>0.18408533000000002</v>
          </cell>
        </row>
        <row r="1520">
          <cell r="H1520">
            <v>220100008</v>
          </cell>
          <cell r="I1520" t="str">
            <v>Guardanapo Embalado</v>
          </cell>
          <cell r="J1520">
            <v>7.1500000000000008E-2</v>
          </cell>
          <cell r="K1520">
            <v>1</v>
          </cell>
          <cell r="L1520" t="str">
            <v>Un</v>
          </cell>
          <cell r="M1520">
            <v>7.1500000000000008E-2</v>
          </cell>
        </row>
        <row r="1521">
          <cell r="H1521">
            <v>210200048</v>
          </cell>
          <cell r="I1521" t="str">
            <v>Copo 330 Ml Ovomaltine Mix</v>
          </cell>
          <cell r="J1521">
            <v>0.45941415000000008</v>
          </cell>
          <cell r="K1521">
            <v>1</v>
          </cell>
          <cell r="L1521" t="str">
            <v>Un</v>
          </cell>
          <cell r="M1521">
            <v>0.45941415000000008</v>
          </cell>
        </row>
        <row r="1522">
          <cell r="B1522">
            <v>120700001</v>
          </cell>
          <cell r="C1522">
            <v>1207</v>
          </cell>
          <cell r="D1522" t="str">
            <v>Café Shake com Nutella 300 ml</v>
          </cell>
          <cell r="E1522">
            <v>7.3635436200000006</v>
          </cell>
          <cell r="F1522">
            <v>26.487566978417266</v>
          </cell>
          <cell r="G1522">
            <v>29.554122119710765</v>
          </cell>
          <cell r="H1522">
            <v>216000038</v>
          </cell>
          <cell r="I1522" t="str">
            <v>Cápsula Ameno</v>
          </cell>
          <cell r="J1522">
            <v>2.6441249999999998</v>
          </cell>
          <cell r="K1522">
            <v>1</v>
          </cell>
          <cell r="L1522" t="str">
            <v>Un</v>
          </cell>
          <cell r="M1522">
            <v>2.6441249999999998</v>
          </cell>
        </row>
        <row r="1523">
          <cell r="H1523">
            <v>210100001</v>
          </cell>
          <cell r="I1523" t="str">
            <v>Bebida Láctea Uht (Baunilha)</v>
          </cell>
          <cell r="J1523">
            <v>1.93157622</v>
          </cell>
          <cell r="K1523">
            <v>0.17699999999999999</v>
          </cell>
          <cell r="L1523" t="str">
            <v>Lt</v>
          </cell>
          <cell r="M1523">
            <v>10.91286</v>
          </cell>
        </row>
        <row r="1524">
          <cell r="H1524">
            <v>216000023</v>
          </cell>
          <cell r="I1524" t="str">
            <v>Cappuccino</v>
          </cell>
          <cell r="J1524">
            <v>0.86300500000000002</v>
          </cell>
          <cell r="K1524">
            <v>1.2999999999999999E-2</v>
          </cell>
          <cell r="L1524" t="str">
            <v>Kg</v>
          </cell>
          <cell r="M1524">
            <v>66.385000000000005</v>
          </cell>
        </row>
        <row r="1525">
          <cell r="H1525">
            <v>210200030</v>
          </cell>
          <cell r="I1525" t="str">
            <v>Copo 330 ml Milk Shake</v>
          </cell>
          <cell r="J1525">
            <v>0.2827461</v>
          </cell>
          <cell r="K1525">
            <v>1</v>
          </cell>
          <cell r="L1525" t="str">
            <v>Un</v>
          </cell>
          <cell r="M1525">
            <v>0.2827461</v>
          </cell>
        </row>
        <row r="1526">
          <cell r="H1526">
            <v>210200049</v>
          </cell>
          <cell r="I1526" t="str">
            <v>Tampa 330 ml Milk Shake</v>
          </cell>
          <cell r="J1526">
            <v>0.17523</v>
          </cell>
          <cell r="K1526">
            <v>1</v>
          </cell>
          <cell r="L1526" t="str">
            <v>Un</v>
          </cell>
          <cell r="M1526">
            <v>0.17523</v>
          </cell>
        </row>
        <row r="1527">
          <cell r="H1527">
            <v>210200021</v>
          </cell>
          <cell r="I1527" t="str">
            <v>Canudo para Milk Shake 10 mm</v>
          </cell>
          <cell r="J1527">
            <v>0.12690729999999997</v>
          </cell>
          <cell r="K1527">
            <v>1</v>
          </cell>
          <cell r="L1527" t="str">
            <v>Un</v>
          </cell>
          <cell r="M1527">
            <v>0.12690729999999997</v>
          </cell>
        </row>
        <row r="1528">
          <cell r="H1528">
            <v>220100008</v>
          </cell>
          <cell r="I1528" t="str">
            <v>Guardanapo Embalado</v>
          </cell>
          <cell r="J1528">
            <v>7.1500000000000008E-2</v>
          </cell>
          <cell r="K1528">
            <v>1</v>
          </cell>
          <cell r="L1528" t="str">
            <v>Un</v>
          </cell>
          <cell r="M1528">
            <v>7.1500000000000008E-2</v>
          </cell>
        </row>
        <row r="1529">
          <cell r="H1529">
            <v>216000050</v>
          </cell>
          <cell r="I1529" t="str">
            <v>Nutella</v>
          </cell>
          <cell r="J1529">
            <v>1.268454</v>
          </cell>
          <cell r="K1529">
            <v>1.7999999999999999E-2</v>
          </cell>
          <cell r="L1529" t="str">
            <v>Kg</v>
          </cell>
          <cell r="M1529">
            <v>70.469666666666669</v>
          </cell>
        </row>
        <row r="1530">
          <cell r="B1530">
            <v>120700002</v>
          </cell>
          <cell r="C1530">
            <v>1207</v>
          </cell>
          <cell r="D1530" t="str">
            <v>Café Shake com Doce de Leite 300 ml</v>
          </cell>
          <cell r="E1530">
            <v>5.8863783700000001</v>
          </cell>
          <cell r="F1530">
            <v>21.174022913669063</v>
          </cell>
          <cell r="G1530">
            <v>24.459022215875621</v>
          </cell>
          <cell r="H1530">
            <v>216000038</v>
          </cell>
          <cell r="I1530" t="str">
            <v>Cápsula Ameno</v>
          </cell>
          <cell r="J1530">
            <v>2.6441249999999998</v>
          </cell>
          <cell r="K1530">
            <v>1</v>
          </cell>
          <cell r="L1530" t="str">
            <v>Un</v>
          </cell>
          <cell r="M1530">
            <v>2.6441249999999998</v>
          </cell>
        </row>
        <row r="1531">
          <cell r="H1531">
            <v>210100001</v>
          </cell>
          <cell r="I1531" t="str">
            <v>Bebida Láctea Uht (Baunilha)</v>
          </cell>
          <cell r="J1531">
            <v>1.93157622</v>
          </cell>
          <cell r="K1531">
            <v>0.17699999999999999</v>
          </cell>
          <cell r="L1531" t="str">
            <v>Lt</v>
          </cell>
          <cell r="M1531">
            <v>10.91286</v>
          </cell>
        </row>
        <row r="1532">
          <cell r="H1532">
            <v>210200030</v>
          </cell>
          <cell r="I1532" t="str">
            <v>Copo 330 ml Milk Shake</v>
          </cell>
          <cell r="J1532">
            <v>0.2827461</v>
          </cell>
          <cell r="K1532">
            <v>1</v>
          </cell>
          <cell r="L1532" t="str">
            <v>Un</v>
          </cell>
          <cell r="M1532">
            <v>0.2827461</v>
          </cell>
        </row>
        <row r="1533">
          <cell r="H1533">
            <v>210200049</v>
          </cell>
          <cell r="I1533" t="str">
            <v>Tampa 330 ml Milk Shake</v>
          </cell>
          <cell r="J1533">
            <v>0.17523</v>
          </cell>
          <cell r="K1533">
            <v>1</v>
          </cell>
          <cell r="L1533" t="str">
            <v>Un</v>
          </cell>
          <cell r="M1533">
            <v>0.17523</v>
          </cell>
        </row>
        <row r="1534">
          <cell r="H1534">
            <v>210200021</v>
          </cell>
          <cell r="I1534" t="str">
            <v>Canudo para Milk Shake 10 mm</v>
          </cell>
          <cell r="J1534">
            <v>0.12690729999999997</v>
          </cell>
          <cell r="K1534">
            <v>1</v>
          </cell>
          <cell r="L1534" t="str">
            <v>Un</v>
          </cell>
          <cell r="M1534">
            <v>0.12690729999999997</v>
          </cell>
        </row>
        <row r="1535">
          <cell r="H1535">
            <v>220100008</v>
          </cell>
          <cell r="I1535" t="str">
            <v>Guardanapo Embalado</v>
          </cell>
          <cell r="J1535">
            <v>7.1500000000000008E-2</v>
          </cell>
          <cell r="K1535">
            <v>1</v>
          </cell>
          <cell r="L1535" t="str">
            <v>Un</v>
          </cell>
          <cell r="M1535">
            <v>7.1500000000000008E-2</v>
          </cell>
        </row>
        <row r="1536">
          <cell r="H1536">
            <v>216000015</v>
          </cell>
          <cell r="I1536" t="str">
            <v>Doce de Leite</v>
          </cell>
          <cell r="J1536">
            <v>0.65429375000000001</v>
          </cell>
          <cell r="K1536">
            <v>0.03</v>
          </cell>
          <cell r="L1536" t="str">
            <v>Kg</v>
          </cell>
          <cell r="M1536">
            <v>21.809791666666669</v>
          </cell>
        </row>
        <row r="1537">
          <cell r="B1537">
            <v>120700003</v>
          </cell>
          <cell r="C1537">
            <v>1207</v>
          </cell>
          <cell r="D1537" t="str">
            <v>Café Shake Tradicional 300 ml</v>
          </cell>
          <cell r="E1537">
            <v>5.2320846200000002</v>
          </cell>
          <cell r="F1537">
            <v>18.820448273381295</v>
          </cell>
          <cell r="G1537">
            <v>22.202204962217014</v>
          </cell>
          <cell r="H1537">
            <v>216000038</v>
          </cell>
          <cell r="I1537" t="str">
            <v>Cápsula Ameno</v>
          </cell>
          <cell r="J1537">
            <v>2.6441249999999998</v>
          </cell>
          <cell r="K1537">
            <v>1</v>
          </cell>
          <cell r="L1537" t="str">
            <v>Un</v>
          </cell>
          <cell r="M1537">
            <v>2.6441249999999998</v>
          </cell>
        </row>
        <row r="1538">
          <cell r="H1538">
            <v>210100001</v>
          </cell>
          <cell r="I1538" t="str">
            <v>Bebida Láctea Uht (Baunilha)</v>
          </cell>
          <cell r="J1538">
            <v>1.93157622</v>
          </cell>
          <cell r="K1538">
            <v>0.17699999999999999</v>
          </cell>
          <cell r="L1538" t="str">
            <v>Lt</v>
          </cell>
          <cell r="M1538">
            <v>10.91286</v>
          </cell>
        </row>
        <row r="1539">
          <cell r="H1539">
            <v>210200030</v>
          </cell>
          <cell r="I1539" t="str">
            <v>Copo 330 ml Milk Shake</v>
          </cell>
          <cell r="J1539">
            <v>0.2827461</v>
          </cell>
          <cell r="K1539">
            <v>1</v>
          </cell>
          <cell r="L1539" t="str">
            <v>Un</v>
          </cell>
          <cell r="M1539">
            <v>0.2827461</v>
          </cell>
        </row>
        <row r="1540">
          <cell r="H1540">
            <v>210200049</v>
          </cell>
          <cell r="I1540" t="str">
            <v>Tampa 330 ml Milk Shake</v>
          </cell>
          <cell r="J1540">
            <v>0.17523</v>
          </cell>
          <cell r="K1540">
            <v>1</v>
          </cell>
          <cell r="L1540" t="str">
            <v>Un</v>
          </cell>
          <cell r="M1540">
            <v>0.17523</v>
          </cell>
        </row>
        <row r="1541">
          <cell r="H1541">
            <v>220100008</v>
          </cell>
          <cell r="I1541" t="str">
            <v>Guardanapo Embalado</v>
          </cell>
          <cell r="J1541">
            <v>7.1500000000000008E-2</v>
          </cell>
          <cell r="K1541">
            <v>1</v>
          </cell>
          <cell r="L1541" t="str">
            <v>Un</v>
          </cell>
          <cell r="M1541">
            <v>7.1500000000000008E-2</v>
          </cell>
        </row>
        <row r="1542">
          <cell r="H1542">
            <v>210200021</v>
          </cell>
          <cell r="I1542" t="str">
            <v>Canudo para Milk Shake 10 mm</v>
          </cell>
          <cell r="J1542">
            <v>0.12690729999999997</v>
          </cell>
          <cell r="K1542">
            <v>1</v>
          </cell>
          <cell r="L1542" t="str">
            <v>Un</v>
          </cell>
          <cell r="M1542">
            <v>0.12690729999999997</v>
          </cell>
        </row>
        <row r="1543">
          <cell r="B1543">
            <v>120700005</v>
          </cell>
          <cell r="C1543">
            <v>1207</v>
          </cell>
          <cell r="D1543" t="str">
            <v>Café Espresso</v>
          </cell>
          <cell r="E1543">
            <v>3.3230999999999997</v>
          </cell>
          <cell r="F1543">
            <v>5.1282407407407398</v>
          </cell>
          <cell r="H1543">
            <v>216000038</v>
          </cell>
          <cell r="I1543" t="str">
            <v>Cápsula Ameno</v>
          </cell>
          <cell r="J1543">
            <v>2.6441249999999998</v>
          </cell>
          <cell r="K1543">
            <v>1</v>
          </cell>
          <cell r="L1543" t="str">
            <v>Un</v>
          </cell>
          <cell r="M1543">
            <v>2.6441249999999998</v>
          </cell>
        </row>
        <row r="1544">
          <cell r="H1544">
            <v>220100014</v>
          </cell>
          <cell r="I1544" t="str">
            <v>Kit Copo 110 ml c/Tampa</v>
          </cell>
          <cell r="J1544">
            <v>0.52624000000000004</v>
          </cell>
          <cell r="K1544">
            <v>1</v>
          </cell>
          <cell r="L1544" t="str">
            <v>Un</v>
          </cell>
          <cell r="M1544">
            <v>0.52624000000000004</v>
          </cell>
        </row>
        <row r="1545">
          <cell r="H1545">
            <v>220100008</v>
          </cell>
          <cell r="I1545" t="str">
            <v>Guardanapo Embalado</v>
          </cell>
          <cell r="J1545">
            <v>7.1500000000000008E-2</v>
          </cell>
          <cell r="K1545">
            <v>1</v>
          </cell>
          <cell r="L1545" t="str">
            <v>Un</v>
          </cell>
          <cell r="M1545">
            <v>7.1500000000000008E-2</v>
          </cell>
        </row>
        <row r="1546">
          <cell r="H1546">
            <v>216200005</v>
          </cell>
          <cell r="I1546" t="str">
            <v>Açucar Cristal Orgânico</v>
          </cell>
          <cell r="J1546">
            <v>8.1235000000000002E-2</v>
          </cell>
          <cell r="K1546">
            <v>1</v>
          </cell>
          <cell r="L1546" t="str">
            <v>Un</v>
          </cell>
          <cell r="M1546">
            <v>8.1235000000000002E-2</v>
          </cell>
        </row>
        <row r="1547">
          <cell r="B1547">
            <v>120700006</v>
          </cell>
          <cell r="C1547">
            <v>1207</v>
          </cell>
          <cell r="D1547" t="str">
            <v>Café Espresso com Chantilly</v>
          </cell>
          <cell r="E1547">
            <v>3.9535396914062497</v>
          </cell>
          <cell r="F1547">
            <v>6.1011414990837185</v>
          </cell>
          <cell r="H1547">
            <v>216000038</v>
          </cell>
          <cell r="I1547" t="str">
            <v>Cápsula Ameno</v>
          </cell>
          <cell r="J1547">
            <v>2.6441249999999998</v>
          </cell>
          <cell r="K1547">
            <v>1</v>
          </cell>
          <cell r="L1547" t="str">
            <v>Un</v>
          </cell>
          <cell r="M1547">
            <v>2.6441249999999998</v>
          </cell>
        </row>
        <row r="1548">
          <cell r="H1548">
            <v>220100014</v>
          </cell>
          <cell r="I1548" t="str">
            <v>Kit Copo 110 ml c/Tampa</v>
          </cell>
          <cell r="J1548">
            <v>0.52624000000000004</v>
          </cell>
          <cell r="K1548">
            <v>1</v>
          </cell>
          <cell r="L1548" t="str">
            <v>Un</v>
          </cell>
          <cell r="M1548">
            <v>0.52624000000000004</v>
          </cell>
        </row>
        <row r="1549">
          <cell r="H1549">
            <v>210900012</v>
          </cell>
          <cell r="I1549" t="str">
            <v>Suflair Nestle</v>
          </cell>
          <cell r="J1549">
            <v>5.8346191406250004E-2</v>
          </cell>
          <cell r="K1549">
            <v>5.0000000000000001E-4</v>
          </cell>
          <cell r="L1549" t="str">
            <v>Kg</v>
          </cell>
          <cell r="M1549">
            <v>116.6923828125</v>
          </cell>
        </row>
        <row r="1550">
          <cell r="H1550">
            <v>216000004</v>
          </cell>
          <cell r="I1550" t="str">
            <v>Chantilly</v>
          </cell>
          <cell r="J1550">
            <v>0.55339349999999998</v>
          </cell>
          <cell r="K1550">
            <v>1.9800000000000002E-2</v>
          </cell>
          <cell r="L1550" t="str">
            <v>Kg</v>
          </cell>
          <cell r="M1550">
            <v>27.949166666666663</v>
          </cell>
        </row>
        <row r="1551">
          <cell r="H1551">
            <v>201000028</v>
          </cell>
          <cell r="I1551" t="str">
            <v>Gás Oxido Nitroso/1Kg</v>
          </cell>
          <cell r="J1551">
            <v>1.8700000000000001E-2</v>
          </cell>
          <cell r="K1551">
            <v>2.0000000000000001E-4</v>
          </cell>
          <cell r="L1551" t="str">
            <v>Kg</v>
          </cell>
          <cell r="M1551">
            <v>93.5</v>
          </cell>
        </row>
        <row r="1552">
          <cell r="H1552">
            <v>220100008</v>
          </cell>
          <cell r="I1552" t="str">
            <v>Guardanapo Embalado</v>
          </cell>
          <cell r="J1552">
            <v>7.1500000000000008E-2</v>
          </cell>
          <cell r="K1552">
            <v>1</v>
          </cell>
          <cell r="L1552" t="str">
            <v>un</v>
          </cell>
          <cell r="M1552">
            <v>7.1500000000000008E-2</v>
          </cell>
        </row>
        <row r="1553">
          <cell r="H1553">
            <v>216200005</v>
          </cell>
          <cell r="I1553" t="str">
            <v>Açucar Cristal Orgânico</v>
          </cell>
          <cell r="J1553">
            <v>8.1235000000000002E-2</v>
          </cell>
          <cell r="K1553">
            <v>1</v>
          </cell>
          <cell r="L1553" t="str">
            <v>Un</v>
          </cell>
          <cell r="M1553">
            <v>8.1235000000000002E-2</v>
          </cell>
        </row>
        <row r="1554">
          <cell r="B1554">
            <v>120700007</v>
          </cell>
          <cell r="C1554">
            <v>1207</v>
          </cell>
          <cell r="D1554" t="str">
            <v>Café Shake Trufado 300 ml</v>
          </cell>
          <cell r="E1554">
            <v>7.0982346200000004</v>
          </cell>
          <cell r="F1554">
            <v>25.533218057553956</v>
          </cell>
          <cell r="G1554">
            <v>28.639007266862315</v>
          </cell>
          <cell r="H1554">
            <v>216000038</v>
          </cell>
          <cell r="I1554" t="str">
            <v>Cápsula Ameno</v>
          </cell>
          <cell r="J1554">
            <v>2.6441249999999998</v>
          </cell>
          <cell r="K1554">
            <v>1</v>
          </cell>
          <cell r="L1554" t="str">
            <v>Un</v>
          </cell>
          <cell r="M1554">
            <v>2.6441249999999998</v>
          </cell>
        </row>
        <row r="1555">
          <cell r="H1555">
            <v>210100001</v>
          </cell>
          <cell r="I1555" t="str">
            <v>Bebida Láctea Uht (Baunilha)</v>
          </cell>
          <cell r="J1555">
            <v>1.93157622</v>
          </cell>
          <cell r="K1555">
            <v>0.17699999999999999</v>
          </cell>
          <cell r="L1555" t="str">
            <v>Lt</v>
          </cell>
          <cell r="M1555">
            <v>10.91286</v>
          </cell>
        </row>
        <row r="1556">
          <cell r="H1556">
            <v>216100007</v>
          </cell>
          <cell r="I1556" t="str">
            <v>Ganache Chiquinho</v>
          </cell>
          <cell r="J1556">
            <v>1.86615</v>
          </cell>
          <cell r="K1556">
            <v>4.4999999999999998E-2</v>
          </cell>
          <cell r="L1556" t="str">
            <v>Kg</v>
          </cell>
          <cell r="M1556">
            <v>41.47</v>
          </cell>
        </row>
        <row r="1557">
          <cell r="H1557">
            <v>210200030</v>
          </cell>
          <cell r="I1557" t="str">
            <v>Copo 330 ml Milk Shake</v>
          </cell>
          <cell r="J1557">
            <v>0.2827461</v>
          </cell>
          <cell r="K1557">
            <v>1</v>
          </cell>
          <cell r="L1557" t="str">
            <v>Un</v>
          </cell>
          <cell r="M1557">
            <v>0.2827461</v>
          </cell>
        </row>
        <row r="1558">
          <cell r="H1558">
            <v>210200049</v>
          </cell>
          <cell r="I1558" t="str">
            <v>Tampa 330 ml Milk Shake</v>
          </cell>
          <cell r="J1558">
            <v>0.17523</v>
          </cell>
          <cell r="K1558">
            <v>1</v>
          </cell>
          <cell r="L1558" t="str">
            <v>Un</v>
          </cell>
          <cell r="M1558">
            <v>0.17523</v>
          </cell>
        </row>
        <row r="1559">
          <cell r="H1559">
            <v>210200021</v>
          </cell>
          <cell r="I1559" t="str">
            <v>Canudo para Milk Shake 10 mm</v>
          </cell>
          <cell r="J1559">
            <v>0.12690729999999997</v>
          </cell>
          <cell r="K1559">
            <v>1</v>
          </cell>
          <cell r="L1559" t="str">
            <v>Un</v>
          </cell>
          <cell r="M1559">
            <v>0.12690729999999997</v>
          </cell>
        </row>
        <row r="1560">
          <cell r="H1560">
            <v>220100008</v>
          </cell>
          <cell r="I1560" t="str">
            <v>Guardanapo Embalado</v>
          </cell>
          <cell r="J1560">
            <v>7.1500000000000008E-2</v>
          </cell>
          <cell r="K1560">
            <v>1</v>
          </cell>
          <cell r="L1560" t="str">
            <v>Un</v>
          </cell>
          <cell r="M1560">
            <v>7.1500000000000008E-2</v>
          </cell>
        </row>
        <row r="1561">
          <cell r="B1561">
            <v>120700008</v>
          </cell>
          <cell r="C1561">
            <v>1207</v>
          </cell>
          <cell r="D1561" t="str">
            <v>Café Shake Pé de Moleque 300 ml</v>
          </cell>
          <cell r="E1561">
            <v>6.156024811831684</v>
          </cell>
          <cell r="F1561">
            <v>22.143974143279436</v>
          </cell>
          <cell r="G1561">
            <v>25.389097953743203</v>
          </cell>
          <cell r="H1561">
            <v>216000038</v>
          </cell>
          <cell r="I1561" t="str">
            <v>Cápsula Ameno</v>
          </cell>
          <cell r="J1561">
            <v>2.6441249999999998</v>
          </cell>
          <cell r="K1561">
            <v>1</v>
          </cell>
          <cell r="L1561" t="str">
            <v>Un</v>
          </cell>
          <cell r="M1561">
            <v>2.6441249999999998</v>
          </cell>
        </row>
        <row r="1562">
          <cell r="H1562">
            <v>210100001</v>
          </cell>
          <cell r="I1562" t="str">
            <v>Bebida Láctea Uht (Baunilha)</v>
          </cell>
          <cell r="J1562">
            <v>1.93157622</v>
          </cell>
          <cell r="K1562">
            <v>0.17699999999999999</v>
          </cell>
          <cell r="L1562" t="str">
            <v>Lt</v>
          </cell>
          <cell r="M1562">
            <v>10.91286</v>
          </cell>
        </row>
        <row r="1563">
          <cell r="H1563">
            <v>216000015</v>
          </cell>
          <cell r="I1563" t="str">
            <v>Doce de Leite</v>
          </cell>
          <cell r="J1563">
            <v>0.327146875</v>
          </cell>
          <cell r="K1563">
            <v>1.4999999999999999E-2</v>
          </cell>
          <cell r="L1563" t="str">
            <v>Kg</v>
          </cell>
          <cell r="M1563">
            <v>21.809791666666669</v>
          </cell>
        </row>
        <row r="1564">
          <cell r="H1564">
            <v>216000027</v>
          </cell>
          <cell r="I1564" t="str">
            <v>Farofa Crocante</v>
          </cell>
          <cell r="J1564">
            <v>0.59679331683168335</v>
          </cell>
          <cell r="K1564">
            <v>1.7500000000000002E-2</v>
          </cell>
          <cell r="L1564" t="str">
            <v>Kg</v>
          </cell>
          <cell r="M1564">
            <v>34.102475247524758</v>
          </cell>
        </row>
        <row r="1565">
          <cell r="H1565">
            <v>210200030</v>
          </cell>
          <cell r="I1565" t="str">
            <v>Copo 330 ml Milk Shake</v>
          </cell>
          <cell r="J1565">
            <v>0.2827461</v>
          </cell>
          <cell r="K1565">
            <v>1</v>
          </cell>
          <cell r="L1565" t="str">
            <v>Un</v>
          </cell>
          <cell r="M1565">
            <v>0.2827461</v>
          </cell>
        </row>
        <row r="1566">
          <cell r="H1566">
            <v>210200049</v>
          </cell>
          <cell r="I1566" t="str">
            <v>Tampa 330 ml Milk Shake</v>
          </cell>
          <cell r="J1566">
            <v>0.17523</v>
          </cell>
          <cell r="K1566">
            <v>1</v>
          </cell>
          <cell r="L1566" t="str">
            <v>Un</v>
          </cell>
          <cell r="M1566">
            <v>0.17523</v>
          </cell>
        </row>
        <row r="1567">
          <cell r="H1567">
            <v>210200021</v>
          </cell>
          <cell r="I1567" t="str">
            <v>Canudo para Milk Shake 10 mm</v>
          </cell>
          <cell r="J1567">
            <v>0.12690729999999997</v>
          </cell>
          <cell r="K1567">
            <v>1</v>
          </cell>
          <cell r="L1567" t="str">
            <v>Un</v>
          </cell>
          <cell r="M1567">
            <v>0.12690729999999997</v>
          </cell>
        </row>
        <row r="1568">
          <cell r="H1568">
            <v>220100008</v>
          </cell>
          <cell r="I1568" t="str">
            <v>Guardanapo Embalado</v>
          </cell>
          <cell r="J1568">
            <v>7.1500000000000008E-2</v>
          </cell>
          <cell r="K1568">
            <v>1</v>
          </cell>
          <cell r="L1568" t="str">
            <v>Un</v>
          </cell>
          <cell r="M1568">
            <v>7.1500000000000008E-2</v>
          </cell>
        </row>
        <row r="1569">
          <cell r="B1569">
            <v>100700018</v>
          </cell>
          <cell r="C1569">
            <v>1007</v>
          </cell>
          <cell r="D1569" t="str">
            <v>Shake Mix® Açaí com Nutella</v>
          </cell>
          <cell r="E1569">
            <v>6.1096958800000012</v>
          </cell>
          <cell r="F1569">
            <v>21.977323309352521</v>
          </cell>
          <cell r="G1569">
            <v>24.784687339460859</v>
          </cell>
          <cell r="H1569">
            <v>216000005</v>
          </cell>
          <cell r="I1569" t="str">
            <v>Açaí Natural</v>
          </cell>
          <cell r="J1569">
            <v>2.5984419999999999</v>
          </cell>
          <cell r="K1569">
            <v>0.14000000000000001</v>
          </cell>
          <cell r="L1569" t="str">
            <v>kg</v>
          </cell>
          <cell r="M1569">
            <v>18.560299999999998</v>
          </cell>
        </row>
        <row r="1570">
          <cell r="H1570">
            <v>210100001</v>
          </cell>
          <cell r="I1570" t="str">
            <v>Bebida Láctea Uht (Baunilha)</v>
          </cell>
          <cell r="J1570">
            <v>1.5278004000000003</v>
          </cell>
          <cell r="K1570">
            <v>0.14000000000000001</v>
          </cell>
          <cell r="L1570" t="str">
            <v>kg</v>
          </cell>
          <cell r="M1570">
            <v>10.91286</v>
          </cell>
        </row>
        <row r="1571">
          <cell r="H1571">
            <v>216000050</v>
          </cell>
          <cell r="I1571" t="str">
            <v>Nutella</v>
          </cell>
          <cell r="J1571">
            <v>1.268454</v>
          </cell>
          <cell r="K1571">
            <v>1.7999999999999999E-2</v>
          </cell>
          <cell r="L1571" t="str">
            <v>Kg</v>
          </cell>
          <cell r="M1571">
            <v>70.469666666666669</v>
          </cell>
        </row>
        <row r="1572">
          <cell r="H1572">
            <v>210200013</v>
          </cell>
          <cell r="I1572" t="str">
            <v>Copo 330 Ml Shake Mix</v>
          </cell>
          <cell r="J1572">
            <v>0.45941415000000008</v>
          </cell>
          <cell r="K1572">
            <v>1</v>
          </cell>
          <cell r="L1572" t="str">
            <v>Un</v>
          </cell>
          <cell r="M1572">
            <v>0.45941415000000008</v>
          </cell>
        </row>
        <row r="1573">
          <cell r="H1573">
            <v>220100008</v>
          </cell>
          <cell r="I1573" t="str">
            <v>Guardanapo Embalado</v>
          </cell>
          <cell r="J1573">
            <v>7.1500000000000008E-2</v>
          </cell>
          <cell r="K1573">
            <v>1</v>
          </cell>
          <cell r="L1573" t="str">
            <v>Un</v>
          </cell>
          <cell r="M1573">
            <v>7.1500000000000008E-2</v>
          </cell>
        </row>
        <row r="1574">
          <cell r="H1574">
            <v>210200011</v>
          </cell>
          <cell r="I1574" t="str">
            <v>Colher Grande</v>
          </cell>
          <cell r="J1574">
            <v>0.18408533000000002</v>
          </cell>
          <cell r="K1574">
            <v>1</v>
          </cell>
          <cell r="L1574" t="str">
            <v>Un</v>
          </cell>
          <cell r="M1574">
            <v>0.18408533000000002</v>
          </cell>
        </row>
        <row r="1575">
          <cell r="B1575">
            <v>101400048</v>
          </cell>
          <cell r="C1575">
            <v>1014</v>
          </cell>
          <cell r="D1575" t="str">
            <v>Açai Monte o Seu 300ml</v>
          </cell>
          <cell r="E1575">
            <v>6.6632304299999996</v>
          </cell>
          <cell r="F1575">
            <v>23.968454784172657</v>
          </cell>
          <cell r="G1575">
            <v>26.534162082624519</v>
          </cell>
          <cell r="H1575">
            <v>216000005</v>
          </cell>
          <cell r="I1575" t="str">
            <v>Açaí Natural</v>
          </cell>
          <cell r="J1575">
            <v>6.1248989999999992</v>
          </cell>
          <cell r="K1575">
            <v>0.33</v>
          </cell>
          <cell r="L1575" t="str">
            <v>Kg</v>
          </cell>
          <cell r="M1575">
            <v>18.560299999999998</v>
          </cell>
        </row>
        <row r="1576">
          <cell r="H1576">
            <v>220100008</v>
          </cell>
          <cell r="I1576" t="str">
            <v>Guardanapo Embalado</v>
          </cell>
          <cell r="J1576">
            <v>7.1500000000000008E-2</v>
          </cell>
          <cell r="K1576">
            <v>1</v>
          </cell>
          <cell r="L1576" t="str">
            <v>Un</v>
          </cell>
          <cell r="M1576">
            <v>7.1500000000000008E-2</v>
          </cell>
        </row>
        <row r="1577">
          <cell r="H1577">
            <v>210200011</v>
          </cell>
          <cell r="I1577" t="str">
            <v>Colher Grande</v>
          </cell>
          <cell r="J1577">
            <v>0.18408533000000002</v>
          </cell>
          <cell r="K1577">
            <v>1</v>
          </cell>
          <cell r="L1577" t="str">
            <v>Un</v>
          </cell>
          <cell r="M1577">
            <v>0.18408533000000002</v>
          </cell>
        </row>
        <row r="1578">
          <cell r="H1578">
            <v>210200030</v>
          </cell>
          <cell r="I1578" t="str">
            <v>Copo 330 ml Milk Shake</v>
          </cell>
          <cell r="J1578">
            <v>0.2827461</v>
          </cell>
          <cell r="K1578">
            <v>1</v>
          </cell>
          <cell r="L1578" t="str">
            <v>Un</v>
          </cell>
          <cell r="M1578">
            <v>0.2827461</v>
          </cell>
        </row>
        <row r="1579">
          <cell r="B1579">
            <v>101400049</v>
          </cell>
          <cell r="C1579">
            <v>1014</v>
          </cell>
          <cell r="D1579" t="str">
            <v>Açai Monte o Seu 400ml</v>
          </cell>
          <cell r="E1579">
            <v>8.8017374799999999</v>
          </cell>
          <cell r="F1579">
            <v>31.660926187050357</v>
          </cell>
          <cell r="G1579">
            <v>33.910389667727657</v>
          </cell>
          <cell r="H1579">
            <v>216000005</v>
          </cell>
          <cell r="I1579" t="str">
            <v>Açaí Natural</v>
          </cell>
          <cell r="J1579">
            <v>8.1665319999999983</v>
          </cell>
          <cell r="K1579">
            <v>0.44</v>
          </cell>
          <cell r="L1579" t="str">
            <v>Kg</v>
          </cell>
          <cell r="M1579">
            <v>18.560299999999998</v>
          </cell>
        </row>
        <row r="1580">
          <cell r="H1580">
            <v>210200011</v>
          </cell>
          <cell r="I1580" t="str">
            <v>Colher Grande</v>
          </cell>
          <cell r="J1580">
            <v>0.18408533000000002</v>
          </cell>
          <cell r="K1580">
            <v>1</v>
          </cell>
          <cell r="L1580" t="str">
            <v>Un</v>
          </cell>
          <cell r="M1580">
            <v>0.18408533000000002</v>
          </cell>
        </row>
        <row r="1581">
          <cell r="H1581">
            <v>210200017</v>
          </cell>
          <cell r="I1581" t="str">
            <v>Copo 440 ml Milk Shake</v>
          </cell>
          <cell r="J1581">
            <v>0.37962015000000005</v>
          </cell>
          <cell r="K1581">
            <v>1</v>
          </cell>
          <cell r="L1581" t="str">
            <v>Un</v>
          </cell>
          <cell r="M1581">
            <v>0.37962015000000005</v>
          </cell>
        </row>
        <row r="1582">
          <cell r="H1582">
            <v>220100008</v>
          </cell>
          <cell r="I1582" t="str">
            <v>Guardanapo Embalado</v>
          </cell>
          <cell r="J1582">
            <v>7.1500000000000008E-2</v>
          </cell>
          <cell r="K1582">
            <v>1</v>
          </cell>
          <cell r="L1582" t="str">
            <v>Un</v>
          </cell>
          <cell r="M1582">
            <v>7.1500000000000008E-2</v>
          </cell>
        </row>
        <row r="1583">
          <cell r="B1583">
            <v>101400050</v>
          </cell>
          <cell r="C1583">
            <v>1014</v>
          </cell>
          <cell r="D1583" t="str">
            <v>Açai Monte o Seu 500ml</v>
          </cell>
          <cell r="E1583">
            <v>10.90420853</v>
          </cell>
          <cell r="F1583">
            <v>39.223771690647482</v>
          </cell>
          <cell r="G1583">
            <v>41.1623203807411</v>
          </cell>
          <cell r="H1583">
            <v>216000005</v>
          </cell>
          <cell r="I1583" t="str">
            <v>Açaí Natural</v>
          </cell>
          <cell r="J1583">
            <v>10.208164999999999</v>
          </cell>
          <cell r="K1583">
            <v>0.55000000000000004</v>
          </cell>
          <cell r="L1583" t="str">
            <v>Kg</v>
          </cell>
          <cell r="M1583">
            <v>18.560299999999998</v>
          </cell>
        </row>
        <row r="1584">
          <cell r="H1584">
            <v>210200011</v>
          </cell>
          <cell r="I1584" t="str">
            <v>Colher Grande</v>
          </cell>
          <cell r="J1584">
            <v>0.18408533000000002</v>
          </cell>
          <cell r="K1584">
            <v>1</v>
          </cell>
          <cell r="L1584" t="str">
            <v>Un</v>
          </cell>
          <cell r="M1584">
            <v>0.18408533000000002</v>
          </cell>
        </row>
        <row r="1585">
          <cell r="H1585">
            <v>210200027</v>
          </cell>
          <cell r="I1585" t="str">
            <v>Copo 550 Ml  Milk Shake</v>
          </cell>
          <cell r="J1585">
            <v>0.44045820000000002</v>
          </cell>
          <cell r="K1585">
            <v>1</v>
          </cell>
          <cell r="L1585" t="str">
            <v>Un</v>
          </cell>
          <cell r="M1585">
            <v>0.44045820000000002</v>
          </cell>
        </row>
        <row r="1586">
          <cell r="H1586">
            <v>220100008</v>
          </cell>
          <cell r="I1586" t="str">
            <v>Guardanapo Embalado</v>
          </cell>
          <cell r="J1586">
            <v>7.1500000000000008E-2</v>
          </cell>
          <cell r="K1586">
            <v>1</v>
          </cell>
          <cell r="L1586" t="str">
            <v>Un</v>
          </cell>
          <cell r="M1586">
            <v>7.1500000000000008E-2</v>
          </cell>
        </row>
        <row r="1587">
          <cell r="B1587">
            <v>140000001</v>
          </cell>
          <cell r="C1587">
            <v>1400</v>
          </cell>
          <cell r="D1587" t="str">
            <v>Ad Aç Amendoim triturado</v>
          </cell>
          <cell r="E1587">
            <v>0.70994000000000002</v>
          </cell>
          <cell r="F1587">
            <v>2.5537410071942444</v>
          </cell>
          <cell r="G1587">
            <v>2.4487546168099485</v>
          </cell>
          <cell r="H1587">
            <v>216000002</v>
          </cell>
          <cell r="I1587" t="str">
            <v>Amendoim triturado</v>
          </cell>
          <cell r="J1587">
            <v>0.70994000000000002</v>
          </cell>
          <cell r="K1587">
            <v>2.8000000000000001E-2</v>
          </cell>
          <cell r="L1587" t="str">
            <v>Kg</v>
          </cell>
          <cell r="M1587">
            <v>25.355</v>
          </cell>
        </row>
        <row r="1588">
          <cell r="B1588">
            <v>140000002</v>
          </cell>
          <cell r="C1588">
            <v>1400</v>
          </cell>
          <cell r="D1588" t="str">
            <v>Ad Aç Banana</v>
          </cell>
          <cell r="E1588">
            <v>0.51870000000000005</v>
          </cell>
          <cell r="F1588">
            <v>1.8658273381294963</v>
          </cell>
          <cell r="G1588">
            <v>1.7891216437154132</v>
          </cell>
          <cell r="H1588">
            <v>216000018</v>
          </cell>
          <cell r="I1588" t="str">
            <v>Banana Nanica</v>
          </cell>
          <cell r="J1588">
            <v>0.51870000000000005</v>
          </cell>
          <cell r="K1588">
            <v>0.13</v>
          </cell>
          <cell r="L1588" t="str">
            <v>Kg</v>
          </cell>
          <cell r="M1588">
            <v>3.99</v>
          </cell>
        </row>
        <row r="1589">
          <cell r="B1589">
            <v>140000003</v>
          </cell>
          <cell r="C1589">
            <v>1400</v>
          </cell>
          <cell r="D1589" t="str">
            <v xml:space="preserve">Ad Aç Morango </v>
          </cell>
          <cell r="E1589">
            <v>2.1</v>
          </cell>
          <cell r="F1589">
            <v>7.5539568345323733</v>
          </cell>
          <cell r="G1589">
            <v>7.2434074644348705</v>
          </cell>
          <cell r="H1589">
            <v>216000020</v>
          </cell>
          <cell r="I1589" t="str">
            <v>Morango</v>
          </cell>
          <cell r="J1589">
            <v>2.1</v>
          </cell>
          <cell r="K1589">
            <v>0.06</v>
          </cell>
          <cell r="L1589" t="str">
            <v>Kg</v>
          </cell>
          <cell r="M1589">
            <v>35</v>
          </cell>
        </row>
        <row r="1590">
          <cell r="B1590">
            <v>140000004</v>
          </cell>
          <cell r="C1590">
            <v>1400</v>
          </cell>
          <cell r="D1590" t="str">
            <v>Ad Aç Mini Disqueti</v>
          </cell>
          <cell r="E1590">
            <v>3.2956000000000003</v>
          </cell>
          <cell r="F1590">
            <v>11.854676258992805</v>
          </cell>
          <cell r="G1590">
            <v>11.367320780853124</v>
          </cell>
          <cell r="H1590">
            <v>210900002</v>
          </cell>
          <cell r="I1590" t="str">
            <v>Mini Disqueti - Dori</v>
          </cell>
          <cell r="J1590">
            <v>3.2956000000000003</v>
          </cell>
          <cell r="K1590">
            <v>0.05</v>
          </cell>
          <cell r="L1590" t="str">
            <v>Kg</v>
          </cell>
          <cell r="M1590">
            <v>65.912000000000006</v>
          </cell>
        </row>
        <row r="1591">
          <cell r="B1591">
            <v>140000005</v>
          </cell>
          <cell r="C1591">
            <v>1400</v>
          </cell>
          <cell r="D1591" t="str">
            <v>Ad Aç Leite Ninho</v>
          </cell>
          <cell r="E1591">
            <v>1.2378666666666669</v>
          </cell>
          <cell r="F1591">
            <v>4.452757793764988</v>
          </cell>
          <cell r="G1591">
            <v>4.2697012634802123</v>
          </cell>
          <cell r="H1591">
            <v>216000017</v>
          </cell>
          <cell r="I1591" t="str">
            <v>Leite em Pó Ninho</v>
          </cell>
          <cell r="J1591">
            <v>1.2378666666666669</v>
          </cell>
          <cell r="K1591">
            <v>0.02</v>
          </cell>
          <cell r="L1591" t="str">
            <v>Kg</v>
          </cell>
          <cell r="M1591">
            <v>61.893333333333338</v>
          </cell>
        </row>
        <row r="1592">
          <cell r="B1592">
            <v>140000006</v>
          </cell>
          <cell r="C1592">
            <v>1400</v>
          </cell>
          <cell r="D1592" t="str">
            <v>Ad Aç Chocolate granulado</v>
          </cell>
          <cell r="E1592">
            <v>0.67960396039603965</v>
          </cell>
          <cell r="F1592">
            <v>2.4446185625756818</v>
          </cell>
          <cell r="G1592">
            <v>2.3441182855200826</v>
          </cell>
          <cell r="H1592">
            <v>210900009</v>
          </cell>
          <cell r="I1592" t="str">
            <v>Chocolate Granulado</v>
          </cell>
          <cell r="J1592">
            <v>0.67960396039603965</v>
          </cell>
          <cell r="K1592">
            <v>3.2000000000000001E-2</v>
          </cell>
          <cell r="L1592" t="str">
            <v>Kg</v>
          </cell>
          <cell r="M1592">
            <v>21.237623762376238</v>
          </cell>
        </row>
        <row r="1593">
          <cell r="B1593">
            <v>140000007</v>
          </cell>
          <cell r="C1593">
            <v>1400</v>
          </cell>
          <cell r="D1593" t="str">
            <v>Ad Aç Ovomaltine</v>
          </cell>
          <cell r="E1593">
            <v>0.92974933333333332</v>
          </cell>
          <cell r="F1593">
            <v>3.3444220623501195</v>
          </cell>
          <cell r="G1593">
            <v>3.2069301243428621</v>
          </cell>
          <cell r="H1593">
            <v>210900004</v>
          </cell>
          <cell r="I1593" t="str">
            <v>Ovomaltine</v>
          </cell>
          <cell r="J1593">
            <v>0.92974933333333332</v>
          </cell>
          <cell r="K1593">
            <v>2.4E-2</v>
          </cell>
          <cell r="L1593" t="str">
            <v>Kg</v>
          </cell>
          <cell r="M1593">
            <v>38.739555555555555</v>
          </cell>
        </row>
        <row r="1594">
          <cell r="B1594">
            <v>140000008</v>
          </cell>
          <cell r="C1594">
            <v>1400</v>
          </cell>
          <cell r="D1594" t="str">
            <v>Ad Aç Leite Condensado Moça</v>
          </cell>
          <cell r="E1594">
            <v>1.4049367088607596</v>
          </cell>
          <cell r="F1594">
            <v>5.0537291685638834</v>
          </cell>
          <cell r="G1594">
            <v>4.8459662114383741</v>
          </cell>
          <cell r="H1594">
            <v>216000013</v>
          </cell>
          <cell r="I1594" t="str">
            <v>Leite Condensado</v>
          </cell>
          <cell r="J1594">
            <v>1.4049367088607596</v>
          </cell>
          <cell r="K1594">
            <v>0.05</v>
          </cell>
          <cell r="L1594" t="str">
            <v>Kg</v>
          </cell>
          <cell r="M1594">
            <v>28.098734177215189</v>
          </cell>
        </row>
        <row r="1595">
          <cell r="B1595">
            <v>140000009</v>
          </cell>
          <cell r="C1595">
            <v>1400</v>
          </cell>
          <cell r="D1595" t="str">
            <v>Ad Aç Ganache chiquinho</v>
          </cell>
          <cell r="E1595">
            <v>2.4882</v>
          </cell>
          <cell r="F1595">
            <v>8.950359712230215</v>
          </cell>
          <cell r="G1595">
            <v>8.5824030728604015</v>
          </cell>
          <cell r="H1595">
            <v>216100007</v>
          </cell>
          <cell r="I1595" t="str">
            <v>Ganache Chiquinho</v>
          </cell>
          <cell r="J1595">
            <v>2.4882</v>
          </cell>
          <cell r="K1595">
            <v>0.06</v>
          </cell>
          <cell r="L1595" t="str">
            <v>Kg</v>
          </cell>
          <cell r="M1595">
            <v>41.47</v>
          </cell>
        </row>
        <row r="1596">
          <cell r="B1596">
            <v>140000010</v>
          </cell>
          <cell r="C1596">
            <v>1400</v>
          </cell>
          <cell r="D1596" t="str">
            <v>Ad Aç Trufada Chiquinho</v>
          </cell>
          <cell r="E1596">
            <v>1.337142857142857</v>
          </cell>
          <cell r="F1596">
            <v>4.8098663926002043</v>
          </cell>
          <cell r="G1596">
            <v>4.6121288344973044</v>
          </cell>
          <cell r="H1596">
            <v>210900018</v>
          </cell>
          <cell r="I1596" t="str">
            <v>Trufada Chiquinho</v>
          </cell>
          <cell r="J1596">
            <v>1.337142857142857</v>
          </cell>
          <cell r="K1596">
            <v>0.03</v>
          </cell>
          <cell r="L1596" t="str">
            <v>Kg</v>
          </cell>
          <cell r="M1596">
            <v>44.571428571428569</v>
          </cell>
        </row>
        <row r="1597">
          <cell r="B1597">
            <v>140000011</v>
          </cell>
          <cell r="C1597">
            <v>1400</v>
          </cell>
          <cell r="D1597" t="str">
            <v>Ad Aç Chantilly</v>
          </cell>
          <cell r="E1597">
            <v>0.62576469140624991</v>
          </cell>
          <cell r="F1597">
            <v>2.2509521273606108</v>
          </cell>
          <cell r="G1597">
            <v>2.1584136365294353</v>
          </cell>
          <cell r="H1597">
            <v>216000004</v>
          </cell>
          <cell r="I1597" t="str">
            <v>Chantilly</v>
          </cell>
          <cell r="J1597">
            <v>0.55339349999999998</v>
          </cell>
          <cell r="K1597">
            <v>1.9800000000000002E-2</v>
          </cell>
          <cell r="L1597" t="str">
            <v>Lt</v>
          </cell>
          <cell r="M1597">
            <v>27.949166666666663</v>
          </cell>
        </row>
        <row r="1598">
          <cell r="H1598">
            <v>201000028</v>
          </cell>
          <cell r="I1598" t="str">
            <v>Gás Oxido Nitroso/1Kg</v>
          </cell>
          <cell r="J1598">
            <v>1.4024999999999999E-2</v>
          </cell>
          <cell r="K1598">
            <v>1.4999999999999999E-4</v>
          </cell>
          <cell r="L1598" t="str">
            <v>Kg</v>
          </cell>
          <cell r="M1598">
            <v>93.5</v>
          </cell>
        </row>
        <row r="1599">
          <cell r="H1599">
            <v>210900012</v>
          </cell>
          <cell r="I1599" t="str">
            <v>Suflair Nestle</v>
          </cell>
          <cell r="J1599">
            <v>5.8346191406250004E-2</v>
          </cell>
          <cell r="K1599">
            <v>5.0000000000000001E-4</v>
          </cell>
          <cell r="L1599" t="str">
            <v>Kg</v>
          </cell>
          <cell r="M1599">
            <v>116.6923828125</v>
          </cell>
        </row>
        <row r="1600">
          <cell r="B1600">
            <v>140000012</v>
          </cell>
          <cell r="C1600">
            <v>1400</v>
          </cell>
          <cell r="D1600" t="str">
            <v>Ad Aç Doce de Leite</v>
          </cell>
          <cell r="E1600">
            <v>0.65429375000000001</v>
          </cell>
          <cell r="F1600">
            <v>2.3535746402877695</v>
          </cell>
          <cell r="G1600">
            <v>2.2568172536586109</v>
          </cell>
          <cell r="H1600">
            <v>216000015</v>
          </cell>
          <cell r="I1600" t="str">
            <v>Doce de Leite</v>
          </cell>
          <cell r="J1600">
            <v>0.65429375000000001</v>
          </cell>
          <cell r="K1600">
            <v>0.03</v>
          </cell>
          <cell r="L1600" t="str">
            <v>Kg</v>
          </cell>
          <cell r="M1600">
            <v>21.809791666666669</v>
          </cell>
        </row>
        <row r="1601">
          <cell r="B1601">
            <v>140000013</v>
          </cell>
          <cell r="C1601">
            <v>1400</v>
          </cell>
          <cell r="D1601" t="str">
            <v>Ad Aç Biscoito Negresco</v>
          </cell>
          <cell r="E1601">
            <v>1.1179999999999999</v>
          </cell>
          <cell r="F1601">
            <v>4.0215827338129486</v>
          </cell>
          <cell r="G1601">
            <v>3.8562521643991352</v>
          </cell>
          <cell r="H1601">
            <v>216000019</v>
          </cell>
          <cell r="I1601" t="str">
            <v>Biscoito Negresco</v>
          </cell>
          <cell r="J1601">
            <v>1.1179999999999999</v>
          </cell>
          <cell r="K1601">
            <v>3.5999999999999997E-2</v>
          </cell>
          <cell r="L1601" t="str">
            <v>Kg</v>
          </cell>
          <cell r="M1601">
            <v>31.055555555555557</v>
          </cell>
        </row>
        <row r="1602">
          <cell r="B1602">
            <v>140000014</v>
          </cell>
          <cell r="C1602">
            <v>1400</v>
          </cell>
          <cell r="D1602" t="str">
            <v>Ad Aç Marshmallow Torção fini Recheadinho</v>
          </cell>
          <cell r="E1602">
            <v>1.7730239999999999</v>
          </cell>
          <cell r="F1602">
            <v>6.3777841726618698</v>
          </cell>
          <cell r="G1602">
            <v>6.1155882267724619</v>
          </cell>
          <cell r="H1602">
            <v>216000035</v>
          </cell>
          <cell r="I1602" t="str">
            <v>Marsh Torcao FINI</v>
          </cell>
          <cell r="J1602">
            <v>1.7730239999999999</v>
          </cell>
          <cell r="K1602">
            <v>4.5999999999999999E-2</v>
          </cell>
          <cell r="L1602" t="str">
            <v>Kg</v>
          </cell>
          <cell r="M1602">
            <v>38.543999999999997</v>
          </cell>
        </row>
        <row r="1603">
          <cell r="B1603">
            <v>140000015</v>
          </cell>
          <cell r="C1603">
            <v>1400</v>
          </cell>
          <cell r="D1603" t="str">
            <v>Ad Aç Polpa Morango</v>
          </cell>
          <cell r="E1603">
            <v>1.5550378048780489</v>
          </cell>
          <cell r="F1603">
            <v>5.5936611686260749</v>
          </cell>
          <cell r="G1603">
            <v>5.3637011634914646</v>
          </cell>
          <cell r="H1603">
            <v>210400017</v>
          </cell>
          <cell r="I1603" t="str">
            <v>Polpa de morango</v>
          </cell>
          <cell r="J1603">
            <v>1.5550378048780489</v>
          </cell>
          <cell r="K1603">
            <v>5.5E-2</v>
          </cell>
          <cell r="L1603" t="str">
            <v>Kg</v>
          </cell>
          <cell r="M1603">
            <v>28.273414634146345</v>
          </cell>
        </row>
        <row r="1604">
          <cell r="B1604">
            <v>140000016</v>
          </cell>
          <cell r="C1604">
            <v>1400</v>
          </cell>
          <cell r="D1604" t="str">
            <v>Ad Aç Polpa maracujá</v>
          </cell>
          <cell r="E1604">
            <v>1.6964048780487806</v>
          </cell>
          <cell r="F1604">
            <v>6.1021758203193537</v>
          </cell>
          <cell r="G1604">
            <v>5.8513103601725058</v>
          </cell>
          <cell r="H1604">
            <v>210400018</v>
          </cell>
          <cell r="I1604" t="str">
            <v>Polpa de maracujá</v>
          </cell>
          <cell r="J1604">
            <v>1.6964048780487806</v>
          </cell>
          <cell r="K1604">
            <v>0.06</v>
          </cell>
          <cell r="L1604" t="str">
            <v>Kg</v>
          </cell>
          <cell r="M1604">
            <v>28.273414634146345</v>
          </cell>
        </row>
        <row r="1605">
          <cell r="B1605">
            <v>140000017</v>
          </cell>
          <cell r="C1605">
            <v>1400</v>
          </cell>
          <cell r="D1605" t="str">
            <v>Ad Aç Polpa Frutas Vermelhas</v>
          </cell>
          <cell r="E1605">
            <v>1.9534878048780489</v>
          </cell>
          <cell r="F1605">
            <v>7.0269345499210383</v>
          </cell>
          <cell r="G1605">
            <v>6.7380514988267368</v>
          </cell>
          <cell r="H1605">
            <v>210400020</v>
          </cell>
          <cell r="I1605" t="str">
            <v>Polpa de Frutas Vermelhas</v>
          </cell>
          <cell r="J1605">
            <v>1.9534878048780489</v>
          </cell>
          <cell r="K1605">
            <v>0.05</v>
          </cell>
          <cell r="L1605" t="str">
            <v>Kg</v>
          </cell>
          <cell r="M1605">
            <v>39.069756097560976</v>
          </cell>
        </row>
        <row r="1606">
          <cell r="B1606">
            <v>140000018</v>
          </cell>
          <cell r="C1606">
            <v>1400</v>
          </cell>
          <cell r="D1606" t="str">
            <v>Ad Aç Creme Crocante Ovomaltine</v>
          </cell>
          <cell r="E1606">
            <v>2.0875799999999995</v>
          </cell>
          <cell r="F1606">
            <v>7.5092805755395657</v>
          </cell>
          <cell r="G1606">
            <v>7.2005678831452107</v>
          </cell>
          <cell r="H1606">
            <v>216000039</v>
          </cell>
          <cell r="I1606" t="str">
            <v>Creme Crocante</v>
          </cell>
          <cell r="J1606">
            <v>2.0875799999999995</v>
          </cell>
          <cell r="K1606">
            <v>3.5999999999999997E-2</v>
          </cell>
          <cell r="L1606" t="str">
            <v>Kg</v>
          </cell>
          <cell r="M1606">
            <v>57.98833333333333</v>
          </cell>
        </row>
        <row r="1607">
          <cell r="B1607">
            <v>140000019</v>
          </cell>
          <cell r="C1607">
            <v>1400</v>
          </cell>
          <cell r="D1607" t="str">
            <v>Ad Aç Farofa Especial</v>
          </cell>
          <cell r="E1607">
            <v>0.95486930693069327</v>
          </cell>
          <cell r="F1607">
            <v>3.43478167960681</v>
          </cell>
          <cell r="G1607">
            <v>3.293574983515017</v>
          </cell>
          <cell r="H1607">
            <v>216000027</v>
          </cell>
          <cell r="I1607" t="str">
            <v>Farofa Crocante</v>
          </cell>
          <cell r="J1607">
            <v>0.95486930693069327</v>
          </cell>
          <cell r="K1607">
            <v>2.8000000000000001E-2</v>
          </cell>
          <cell r="L1607" t="str">
            <v>Kg</v>
          </cell>
          <cell r="M1607">
            <v>34.102475247524758</v>
          </cell>
        </row>
        <row r="1608">
          <cell r="B1608">
            <v>140000020</v>
          </cell>
          <cell r="C1608">
            <v>1400</v>
          </cell>
          <cell r="D1608" t="str">
            <v>Ad Aç Granola</v>
          </cell>
          <cell r="E1608">
            <v>0.82874000000000014</v>
          </cell>
          <cell r="F1608">
            <v>2.9810791366906479</v>
          </cell>
          <cell r="G1608">
            <v>2.8585245247979789</v>
          </cell>
          <cell r="H1608">
            <v>216000006</v>
          </cell>
          <cell r="I1608" t="str">
            <v>Granola</v>
          </cell>
          <cell r="J1608">
            <v>0.82874000000000014</v>
          </cell>
          <cell r="K1608">
            <v>0.02</v>
          </cell>
          <cell r="L1608" t="str">
            <v>Kg</v>
          </cell>
          <cell r="M1608">
            <v>41.437000000000005</v>
          </cell>
        </row>
        <row r="1609">
          <cell r="B1609">
            <v>140000021</v>
          </cell>
          <cell r="C1609">
            <v>1400</v>
          </cell>
          <cell r="D1609" t="str">
            <v>Ad Aç Sorvete ( baun/choco/misto)</v>
          </cell>
          <cell r="E1609">
            <v>1.28771748</v>
          </cell>
          <cell r="F1609">
            <v>4.63207726618705</v>
          </cell>
          <cell r="G1609">
            <v>4.4416487651025047</v>
          </cell>
          <cell r="H1609">
            <v>210100007</v>
          </cell>
          <cell r="I1609" t="str">
            <v>Bebida Láctea UHT Sabores</v>
          </cell>
          <cell r="J1609">
            <v>1.28771748</v>
          </cell>
          <cell r="K1609">
            <v>0.11799999999999999</v>
          </cell>
          <cell r="L1609" t="str">
            <v>Lt</v>
          </cell>
          <cell r="M1609">
            <v>10.91286</v>
          </cell>
        </row>
        <row r="1610">
          <cell r="B1610">
            <v>140000022</v>
          </cell>
          <cell r="C1610">
            <v>1400</v>
          </cell>
          <cell r="D1610" t="str">
            <v>Ad Aç Nutella</v>
          </cell>
          <cell r="E1610">
            <v>2.5369079999999999</v>
          </cell>
          <cell r="F1610">
            <v>9.1255683453237406</v>
          </cell>
          <cell r="G1610">
            <v>8.750408735135494</v>
          </cell>
          <cell r="H1610">
            <v>216000050</v>
          </cell>
          <cell r="I1610" t="str">
            <v>Nutella</v>
          </cell>
          <cell r="J1610">
            <v>2.5369079999999999</v>
          </cell>
          <cell r="K1610">
            <v>3.5999999999999997E-2</v>
          </cell>
          <cell r="L1610" t="str">
            <v>Kg</v>
          </cell>
          <cell r="M1610">
            <v>70.469666666666669</v>
          </cell>
        </row>
        <row r="1611">
          <cell r="B1611">
            <v>140000023</v>
          </cell>
          <cell r="C1611">
            <v>1400</v>
          </cell>
          <cell r="D1611" t="str">
            <v>Ad Aç Bijú Wafer</v>
          </cell>
          <cell r="E1611">
            <v>0.22659000000000001</v>
          </cell>
          <cell r="F1611">
            <v>0.8150719424460432</v>
          </cell>
          <cell r="G1611">
            <v>0.78156366541252253</v>
          </cell>
          <cell r="H1611">
            <v>216000009</v>
          </cell>
          <cell r="I1611" t="str">
            <v>Canudinho Biju Wafer</v>
          </cell>
          <cell r="J1611">
            <v>0.22659000000000001</v>
          </cell>
          <cell r="K1611">
            <v>6.0000000000000001E-3</v>
          </cell>
          <cell r="L1611" t="str">
            <v>Kg</v>
          </cell>
          <cell r="M1611">
            <v>37.765000000000001</v>
          </cell>
        </row>
        <row r="1612">
          <cell r="B1612">
            <v>140000024</v>
          </cell>
          <cell r="C1612">
            <v>1400</v>
          </cell>
          <cell r="D1612" t="str">
            <v>Ad Aç Farinha Láctea</v>
          </cell>
          <cell r="E1612">
            <v>0.90332000000000012</v>
          </cell>
          <cell r="F1612">
            <v>3.2493525179856118</v>
          </cell>
          <cell r="G1612">
            <v>3.1157689670349087</v>
          </cell>
          <cell r="H1612">
            <v>216000065</v>
          </cell>
          <cell r="I1612" t="str">
            <v>Farinha Láctea</v>
          </cell>
          <cell r="J1612">
            <v>0.90332000000000012</v>
          </cell>
          <cell r="K1612">
            <v>2.4E-2</v>
          </cell>
          <cell r="L1612" t="str">
            <v>Kg</v>
          </cell>
          <cell r="M1612">
            <v>37.638333333333335</v>
          </cell>
        </row>
        <row r="1613">
          <cell r="B1613">
            <v>140000025</v>
          </cell>
          <cell r="C1613">
            <v>1400</v>
          </cell>
          <cell r="D1613" t="str">
            <v>Ad Aç Ouro Branco</v>
          </cell>
          <cell r="E1613">
            <v>2.1093600000000001</v>
          </cell>
          <cell r="F1613">
            <v>7.5876258992805754</v>
          </cell>
          <cell r="G1613">
            <v>7.2756923662763517</v>
          </cell>
          <cell r="H1613">
            <v>210900026</v>
          </cell>
          <cell r="I1613" t="str">
            <v>Bombom Ouro Branco</v>
          </cell>
          <cell r="J1613">
            <v>2.1093600000000001</v>
          </cell>
          <cell r="K1613">
            <v>2</v>
          </cell>
          <cell r="L1613" t="str">
            <v>Un</v>
          </cell>
          <cell r="M1613">
            <v>1.0546800000000001</v>
          </cell>
        </row>
        <row r="1614">
          <cell r="B1614">
            <v>100700022</v>
          </cell>
          <cell r="C1614">
            <v>1007</v>
          </cell>
          <cell r="D1614" t="str">
            <v>Shake Mix® Açaí com Creme Crocante</v>
          </cell>
          <cell r="E1614">
            <v>5.8850318800000005</v>
          </cell>
          <cell r="F1614">
            <v>21.169179424460431</v>
          </cell>
          <cell r="G1614">
            <v>23.849967232204332</v>
          </cell>
          <cell r="H1614">
            <v>216000005</v>
          </cell>
          <cell r="I1614" t="str">
            <v>Açaí Natural</v>
          </cell>
          <cell r="J1614">
            <v>2.5984419999999999</v>
          </cell>
          <cell r="K1614">
            <v>0.14000000000000001</v>
          </cell>
          <cell r="L1614" t="str">
            <v>kg</v>
          </cell>
          <cell r="M1614">
            <v>18.560299999999998</v>
          </cell>
        </row>
        <row r="1615">
          <cell r="H1615">
            <v>210100001</v>
          </cell>
          <cell r="I1615" t="str">
            <v>Bebida Láctea Uht (Baunilha)</v>
          </cell>
          <cell r="J1615">
            <v>1.5278004000000003</v>
          </cell>
          <cell r="K1615">
            <v>0.14000000000000001</v>
          </cell>
          <cell r="L1615" t="str">
            <v>kg</v>
          </cell>
          <cell r="M1615">
            <v>10.91286</v>
          </cell>
        </row>
        <row r="1616">
          <cell r="H1616">
            <v>216000039</v>
          </cell>
          <cell r="I1616" t="str">
            <v>Creme Crocante</v>
          </cell>
          <cell r="J1616">
            <v>1.0437899999999998</v>
          </cell>
          <cell r="K1616">
            <v>1.7999999999999999E-2</v>
          </cell>
          <cell r="L1616" t="str">
            <v>Kg</v>
          </cell>
          <cell r="M1616">
            <v>57.98833333333333</v>
          </cell>
        </row>
        <row r="1617">
          <cell r="H1617">
            <v>210200013</v>
          </cell>
          <cell r="I1617" t="str">
            <v>Copo 330 Ml Shake Mix</v>
          </cell>
          <cell r="J1617">
            <v>0.45941415000000008</v>
          </cell>
          <cell r="K1617">
            <v>1</v>
          </cell>
          <cell r="L1617" t="str">
            <v>Un</v>
          </cell>
          <cell r="M1617">
            <v>0.45941415000000008</v>
          </cell>
        </row>
        <row r="1618">
          <cell r="H1618">
            <v>220100008</v>
          </cell>
          <cell r="I1618" t="str">
            <v>Guardanapo Embalado</v>
          </cell>
          <cell r="J1618">
            <v>7.1500000000000008E-2</v>
          </cell>
          <cell r="K1618">
            <v>1</v>
          </cell>
          <cell r="L1618" t="str">
            <v>Un</v>
          </cell>
          <cell r="M1618">
            <v>7.1500000000000008E-2</v>
          </cell>
        </row>
        <row r="1619">
          <cell r="H1619">
            <v>210200011</v>
          </cell>
          <cell r="I1619" t="str">
            <v>Colher Grande</v>
          </cell>
          <cell r="J1619">
            <v>0.18408533000000002</v>
          </cell>
          <cell r="K1619">
            <v>1</v>
          </cell>
          <cell r="L1619" t="str">
            <v>Un</v>
          </cell>
          <cell r="M1619">
            <v>0.18408533000000002</v>
          </cell>
        </row>
        <row r="1620">
          <cell r="B1620">
            <v>102000001</v>
          </cell>
          <cell r="C1620">
            <v>1020</v>
          </cell>
          <cell r="D1620" t="str">
            <v>Affogato</v>
          </cell>
          <cell r="E1620">
            <v>4.1764537749999997</v>
          </cell>
          <cell r="F1620">
            <v>15.02321501798561</v>
          </cell>
          <cell r="H1620">
            <v>210100007</v>
          </cell>
          <cell r="I1620" t="str">
            <v>Bebida Láctea Uht Sabores</v>
          </cell>
          <cell r="J1620">
            <v>0.84029021999999998</v>
          </cell>
          <cell r="K1620">
            <v>7.6999999999999999E-2</v>
          </cell>
          <cell r="L1620" t="str">
            <v>lt</v>
          </cell>
          <cell r="M1620">
            <v>10.91286</v>
          </cell>
        </row>
        <row r="1621">
          <cell r="H1621">
            <v>210200051</v>
          </cell>
          <cell r="I1621" t="str">
            <v>Copo 220 ml Poli Papel</v>
          </cell>
          <cell r="J1621">
            <v>0.436453225</v>
          </cell>
          <cell r="K1621">
            <v>1</v>
          </cell>
          <cell r="L1621" t="str">
            <v>un</v>
          </cell>
          <cell r="M1621">
            <v>0.436453225</v>
          </cell>
        </row>
        <row r="1622">
          <cell r="H1622">
            <v>220100008</v>
          </cell>
          <cell r="I1622" t="str">
            <v>Guardanapo Embalado</v>
          </cell>
          <cell r="J1622">
            <v>7.1500000000000008E-2</v>
          </cell>
          <cell r="K1622">
            <v>1</v>
          </cell>
          <cell r="L1622" t="str">
            <v>un</v>
          </cell>
          <cell r="M1622">
            <v>7.1500000000000008E-2</v>
          </cell>
        </row>
        <row r="1623">
          <cell r="H1623">
            <v>210200011</v>
          </cell>
          <cell r="I1623" t="str">
            <v>Colher Grande</v>
          </cell>
          <cell r="J1623">
            <v>0.18408533000000002</v>
          </cell>
          <cell r="K1623">
            <v>1</v>
          </cell>
          <cell r="L1623" t="str">
            <v>un</v>
          </cell>
          <cell r="M1623">
            <v>0.18408533000000002</v>
          </cell>
        </row>
        <row r="1624">
          <cell r="H1624">
            <v>216000038</v>
          </cell>
          <cell r="I1624" t="str">
            <v>Cápsula Ameno</v>
          </cell>
          <cell r="J1624">
            <v>2.6441249999999998</v>
          </cell>
          <cell r="K1624">
            <v>1</v>
          </cell>
          <cell r="L1624" t="str">
            <v>un</v>
          </cell>
          <cell r="M1624">
            <v>2.6441249999999998</v>
          </cell>
        </row>
        <row r="1625">
          <cell r="B1625">
            <v>102000002</v>
          </cell>
          <cell r="C1625">
            <v>1020</v>
          </cell>
          <cell r="D1625" t="str">
            <v>Cappuccino com Suflair (Quente ou Frio)</v>
          </cell>
          <cell r="E1625">
            <v>4.6154120745312506</v>
          </cell>
          <cell r="F1625">
            <v>16.602201706946943</v>
          </cell>
          <cell r="H1625">
            <v>216000023</v>
          </cell>
          <cell r="I1625" t="str">
            <v>Cappuccino</v>
          </cell>
          <cell r="J1625">
            <v>1.72601</v>
          </cell>
          <cell r="K1625">
            <v>2.5999999999999999E-2</v>
          </cell>
          <cell r="L1625" t="str">
            <v>Kg</v>
          </cell>
          <cell r="M1625">
            <v>66.385000000000005</v>
          </cell>
        </row>
        <row r="1626">
          <cell r="H1626">
            <v>216000016</v>
          </cell>
          <cell r="I1626" t="str">
            <v>Leite Integral</v>
          </cell>
          <cell r="J1626">
            <v>0.4</v>
          </cell>
          <cell r="K1626">
            <v>0.1</v>
          </cell>
          <cell r="L1626" t="str">
            <v>Lt</v>
          </cell>
          <cell r="M1626">
            <v>4</v>
          </cell>
        </row>
        <row r="1627">
          <cell r="H1627">
            <v>210900012</v>
          </cell>
          <cell r="I1627" t="str">
            <v>Suflair Nestle</v>
          </cell>
          <cell r="J1627">
            <v>1.1669238281250001</v>
          </cell>
          <cell r="K1627">
            <v>0.01</v>
          </cell>
          <cell r="L1627" t="str">
            <v>Kg</v>
          </cell>
          <cell r="M1627">
            <v>116.6923828125</v>
          </cell>
        </row>
        <row r="1628">
          <cell r="H1628">
            <v>210200011</v>
          </cell>
          <cell r="I1628" t="str">
            <v>Colher Grande</v>
          </cell>
          <cell r="J1628">
            <v>0.18408533000000002</v>
          </cell>
          <cell r="K1628">
            <v>1</v>
          </cell>
          <cell r="L1628" t="str">
            <v>Un</v>
          </cell>
          <cell r="M1628">
            <v>0.18408533000000002</v>
          </cell>
        </row>
        <row r="1629">
          <cell r="H1629">
            <v>210200051</v>
          </cell>
          <cell r="I1629" t="str">
            <v>Copo 220 ml Poli Papel</v>
          </cell>
          <cell r="J1629">
            <v>0.436453225</v>
          </cell>
          <cell r="K1629">
            <v>1</v>
          </cell>
          <cell r="L1629" t="str">
            <v>Un</v>
          </cell>
          <cell r="M1629">
            <v>0.436453225</v>
          </cell>
        </row>
        <row r="1630">
          <cell r="H1630">
            <v>220100008</v>
          </cell>
          <cell r="I1630" t="str">
            <v>Guardanapo Embalado</v>
          </cell>
          <cell r="J1630">
            <v>7.1500000000000008E-2</v>
          </cell>
          <cell r="K1630">
            <v>1</v>
          </cell>
          <cell r="L1630" t="str">
            <v>Un</v>
          </cell>
          <cell r="M1630">
            <v>7.1500000000000008E-2</v>
          </cell>
        </row>
        <row r="1631">
          <cell r="H1631">
            <v>216000004</v>
          </cell>
          <cell r="I1631" t="str">
            <v>Chantilly</v>
          </cell>
          <cell r="J1631">
            <v>0.55339349999999998</v>
          </cell>
          <cell r="K1631">
            <v>1.9800000000000002E-2</v>
          </cell>
          <cell r="L1631" t="str">
            <v>Kg</v>
          </cell>
          <cell r="M1631">
            <v>27.949166666666663</v>
          </cell>
        </row>
        <row r="1632">
          <cell r="H1632">
            <v>201000028</v>
          </cell>
          <cell r="I1632" t="str">
            <v>Gás Oxido Nitroso/1Kg</v>
          </cell>
          <cell r="J1632">
            <v>1.8700000000000001E-2</v>
          </cell>
          <cell r="K1632">
            <v>2.0000000000000001E-4</v>
          </cell>
          <cell r="L1632" t="str">
            <v>kg</v>
          </cell>
          <cell r="M1632">
            <v>93.5</v>
          </cell>
        </row>
        <row r="1633">
          <cell r="H1633">
            <v>210900012</v>
          </cell>
          <cell r="I1633" t="str">
            <v>Suflair Nestle</v>
          </cell>
          <cell r="J1633">
            <v>5.8346191406250004E-2</v>
          </cell>
          <cell r="K1633">
            <v>5.0000000000000001E-4</v>
          </cell>
          <cell r="L1633" t="str">
            <v>Kg</v>
          </cell>
          <cell r="M1633">
            <v>116.6923828125</v>
          </cell>
        </row>
        <row r="1634">
          <cell r="B1634">
            <v>102000003</v>
          </cell>
          <cell r="C1634">
            <v>1020</v>
          </cell>
          <cell r="D1634" t="str">
            <v>Chocolate (Quente ou Frio)</v>
          </cell>
          <cell r="E1634">
            <v>4.9271082698437505</v>
          </cell>
          <cell r="F1634">
            <v>17.723411042603416</v>
          </cell>
          <cell r="H1634">
            <v>210900017</v>
          </cell>
          <cell r="I1634" t="str">
            <v>Pó para preparo Chocolate Cremoso Leagel</v>
          </cell>
          <cell r="J1634">
            <v>3.5200620000000002</v>
          </cell>
          <cell r="K1634">
            <v>4.4999999999999998E-2</v>
          </cell>
          <cell r="L1634" t="str">
            <v>Kg</v>
          </cell>
          <cell r="M1634">
            <v>78.223600000000005</v>
          </cell>
        </row>
        <row r="1635">
          <cell r="H1635">
            <v>216000016</v>
          </cell>
          <cell r="I1635" t="str">
            <v>Leite Integral</v>
          </cell>
          <cell r="J1635">
            <v>0.68</v>
          </cell>
          <cell r="K1635">
            <v>0.17</v>
          </cell>
          <cell r="L1635" t="str">
            <v>Lt</v>
          </cell>
          <cell r="M1635">
            <v>4</v>
          </cell>
        </row>
        <row r="1636">
          <cell r="H1636">
            <v>210900012</v>
          </cell>
          <cell r="I1636" t="str">
            <v>Suflair Nestle</v>
          </cell>
          <cell r="J1636">
            <v>3.5007714843749996E-2</v>
          </cell>
          <cell r="K1636">
            <v>2.9999999999999997E-4</v>
          </cell>
          <cell r="L1636" t="str">
            <v>Kg</v>
          </cell>
          <cell r="M1636">
            <v>116.6923828125</v>
          </cell>
        </row>
        <row r="1637">
          <cell r="H1637">
            <v>210200051</v>
          </cell>
          <cell r="I1637" t="str">
            <v>Copo 220 ml Poli Papel</v>
          </cell>
          <cell r="J1637">
            <v>0.436453225</v>
          </cell>
          <cell r="K1637">
            <v>1</v>
          </cell>
          <cell r="L1637" t="str">
            <v>Un</v>
          </cell>
          <cell r="M1637">
            <v>0.436453225</v>
          </cell>
        </row>
        <row r="1638">
          <cell r="H1638">
            <v>220100008</v>
          </cell>
          <cell r="I1638" t="str">
            <v>Guardanapo Embalado</v>
          </cell>
          <cell r="J1638">
            <v>7.1500000000000008E-2</v>
          </cell>
          <cell r="K1638">
            <v>1</v>
          </cell>
          <cell r="L1638" t="str">
            <v>Un</v>
          </cell>
          <cell r="M1638">
            <v>7.1500000000000008E-2</v>
          </cell>
        </row>
        <row r="1639">
          <cell r="H1639">
            <v>210200011</v>
          </cell>
          <cell r="I1639" t="str">
            <v>Colher Grande</v>
          </cell>
          <cell r="J1639">
            <v>0.18408533000000002</v>
          </cell>
          <cell r="K1639">
            <v>1</v>
          </cell>
          <cell r="L1639" t="str">
            <v>Un</v>
          </cell>
          <cell r="M1639">
            <v>0.18408533000000002</v>
          </cell>
        </row>
        <row r="1640">
          <cell r="B1640">
            <v>102000004</v>
          </cell>
          <cell r="C1640">
            <v>1020</v>
          </cell>
          <cell r="D1640" t="str">
            <v>Chocolate c/Sorvete (Quente ou Frio)</v>
          </cell>
          <cell r="E1640">
            <v>4.1745138999504956</v>
          </cell>
          <cell r="F1640">
            <v>15.016237050181637</v>
          </cell>
          <cell r="H1640">
            <v>210900017</v>
          </cell>
          <cell r="I1640" t="str">
            <v>Pó para preparo Chocolate Cremoso Leagel</v>
          </cell>
          <cell r="J1640">
            <v>2.346708</v>
          </cell>
          <cell r="K1640">
            <v>0.03</v>
          </cell>
          <cell r="L1640" t="str">
            <v>Kg</v>
          </cell>
          <cell r="M1640">
            <v>78.223600000000005</v>
          </cell>
        </row>
        <row r="1641">
          <cell r="H1641">
            <v>216000016</v>
          </cell>
          <cell r="I1641" t="str">
            <v>Leite Integral</v>
          </cell>
          <cell r="J1641">
            <v>0.36</v>
          </cell>
          <cell r="K1641">
            <v>0.09</v>
          </cell>
          <cell r="L1641" t="str">
            <v>Lt</v>
          </cell>
          <cell r="M1641">
            <v>4</v>
          </cell>
        </row>
        <row r="1642">
          <cell r="H1642">
            <v>210200051</v>
          </cell>
          <cell r="I1642" t="str">
            <v>Copo 220 ml Poli Papel</v>
          </cell>
          <cell r="J1642">
            <v>0.436453225</v>
          </cell>
          <cell r="K1642">
            <v>1</v>
          </cell>
          <cell r="L1642" t="str">
            <v>Un</v>
          </cell>
          <cell r="M1642">
            <v>0.436453225</v>
          </cell>
        </row>
        <row r="1643">
          <cell r="H1643">
            <v>210200011</v>
          </cell>
          <cell r="I1643" t="str">
            <v>Colher Grande</v>
          </cell>
          <cell r="J1643">
            <v>0.18408533000000002</v>
          </cell>
          <cell r="K1643">
            <v>1</v>
          </cell>
          <cell r="L1643" t="str">
            <v>Un</v>
          </cell>
          <cell r="M1643">
            <v>0.18408533000000002</v>
          </cell>
        </row>
        <row r="1644">
          <cell r="H1644">
            <v>210100007</v>
          </cell>
          <cell r="I1644" t="str">
            <v>Bebida Láctea Uht Sabores</v>
          </cell>
          <cell r="J1644">
            <v>0.48016583999999995</v>
          </cell>
          <cell r="K1644">
            <v>4.3999999999999997E-2</v>
          </cell>
          <cell r="L1644" t="str">
            <v>lt</v>
          </cell>
          <cell r="M1644">
            <v>10.91286</v>
          </cell>
        </row>
        <row r="1645">
          <cell r="H1645">
            <v>210500001</v>
          </cell>
          <cell r="I1645" t="str">
            <v>Cobertura de Caramelo</v>
          </cell>
          <cell r="J1645">
            <v>0.17938283828382839</v>
          </cell>
          <cell r="K1645">
            <v>0.01</v>
          </cell>
          <cell r="L1645" t="str">
            <v>kg</v>
          </cell>
          <cell r="M1645">
            <v>17.93828382838284</v>
          </cell>
        </row>
        <row r="1646">
          <cell r="H1646">
            <v>220100008</v>
          </cell>
          <cell r="I1646" t="str">
            <v>Guardanapo Embalado</v>
          </cell>
          <cell r="J1646">
            <v>7.1500000000000008E-2</v>
          </cell>
          <cell r="K1646">
            <v>1</v>
          </cell>
          <cell r="L1646" t="str">
            <v>un</v>
          </cell>
          <cell r="M1646">
            <v>7.1500000000000008E-2</v>
          </cell>
        </row>
        <row r="1647">
          <cell r="H1647">
            <v>210900004</v>
          </cell>
          <cell r="I1647" t="str">
            <v>Ovomaltine</v>
          </cell>
          <cell r="J1647">
            <v>0.11621866666666666</v>
          </cell>
          <cell r="K1647">
            <v>3.0000000000000001E-3</v>
          </cell>
          <cell r="L1647" t="str">
            <v>Kg</v>
          </cell>
          <cell r="M1647">
            <v>38.739555555555555</v>
          </cell>
        </row>
        <row r="1648">
          <cell r="B1648">
            <v>102000050</v>
          </cell>
          <cell r="C1648">
            <v>1020</v>
          </cell>
          <cell r="D1648" t="str">
            <v>Fondue Mix  -200 ml</v>
          </cell>
          <cell r="E1648">
            <v>6.3997742692857154</v>
          </cell>
          <cell r="F1648">
            <v>23.020770752826312</v>
          </cell>
          <cell r="H1648">
            <v>216000024</v>
          </cell>
          <cell r="I1648" t="str">
            <v>Uva Italiana</v>
          </cell>
          <cell r="J1648">
            <v>0.39960000000000001</v>
          </cell>
          <cell r="K1648">
            <v>0.04</v>
          </cell>
          <cell r="L1648" t="str">
            <v>Kg</v>
          </cell>
          <cell r="M1648">
            <v>9.99</v>
          </cell>
        </row>
        <row r="1649">
          <cell r="H1649">
            <v>216000018</v>
          </cell>
          <cell r="I1649" t="str">
            <v>Banana Nanica</v>
          </cell>
          <cell r="J1649">
            <v>0.25935000000000002</v>
          </cell>
          <cell r="K1649">
            <v>6.5000000000000002E-2</v>
          </cell>
          <cell r="L1649" t="str">
            <v>Kg</v>
          </cell>
          <cell r="M1649">
            <v>3.99</v>
          </cell>
        </row>
        <row r="1650">
          <cell r="H1650">
            <v>216000020</v>
          </cell>
          <cell r="I1650" t="str">
            <v>Morango</v>
          </cell>
          <cell r="J1650">
            <v>1.575</v>
          </cell>
          <cell r="K1650">
            <v>4.4999999999999998E-2</v>
          </cell>
          <cell r="L1650" t="str">
            <v>Kg</v>
          </cell>
          <cell r="M1650">
            <v>35</v>
          </cell>
        </row>
        <row r="1651">
          <cell r="H1651">
            <v>210900030</v>
          </cell>
          <cell r="I1651" t="str">
            <v>Ganache Fondue Chiquinho</v>
          </cell>
          <cell r="J1651">
            <v>3.473785714285714</v>
          </cell>
          <cell r="K1651">
            <v>7.4999999999999997E-2</v>
          </cell>
          <cell r="L1651" t="str">
            <v>Kg</v>
          </cell>
          <cell r="M1651">
            <v>46.317142857142855</v>
          </cell>
        </row>
        <row r="1652">
          <cell r="H1652">
            <v>210200051</v>
          </cell>
          <cell r="I1652" t="str">
            <v>Copo 220 ml Poli Papel</v>
          </cell>
          <cell r="J1652">
            <v>0.436453225</v>
          </cell>
          <cell r="K1652">
            <v>1</v>
          </cell>
          <cell r="L1652" t="str">
            <v>Un</v>
          </cell>
          <cell r="M1652">
            <v>0.436453225</v>
          </cell>
        </row>
        <row r="1653">
          <cell r="H1653">
            <v>220100008</v>
          </cell>
          <cell r="I1653" t="str">
            <v>Guardanapo Embalado</v>
          </cell>
          <cell r="J1653">
            <v>7.1500000000000008E-2</v>
          </cell>
          <cell r="K1653">
            <v>1</v>
          </cell>
          <cell r="L1653" t="str">
            <v>Un</v>
          </cell>
          <cell r="M1653">
            <v>7.1500000000000008E-2</v>
          </cell>
        </row>
        <row r="1654">
          <cell r="H1654">
            <v>210200011</v>
          </cell>
          <cell r="I1654" t="str">
            <v>Colher Grande</v>
          </cell>
          <cell r="J1654">
            <v>0.18408533000000002</v>
          </cell>
          <cell r="K1654">
            <v>1</v>
          </cell>
          <cell r="L1654" t="str">
            <v>Un</v>
          </cell>
          <cell r="M1654">
            <v>0.18408533000000002</v>
          </cell>
        </row>
        <row r="1655">
          <cell r="B1655">
            <v>102000051</v>
          </cell>
          <cell r="C1655">
            <v>1020</v>
          </cell>
          <cell r="D1655" t="str">
            <v>Fondue Mix  -300 ml</v>
          </cell>
          <cell r="E1655">
            <v>9.1502808855555564</v>
          </cell>
          <cell r="F1655">
            <v>32.914679444444445</v>
          </cell>
          <cell r="H1655">
            <v>216000024</v>
          </cell>
          <cell r="I1655" t="str">
            <v>Uva Italiana</v>
          </cell>
          <cell r="J1655">
            <v>0.59940000000000004</v>
          </cell>
          <cell r="K1655">
            <v>0.06</v>
          </cell>
          <cell r="L1655" t="str">
            <v>Kg</v>
          </cell>
          <cell r="M1655">
            <v>9.99</v>
          </cell>
        </row>
        <row r="1656">
          <cell r="H1656">
            <v>216000018</v>
          </cell>
          <cell r="I1656" t="str">
            <v>Banana Nanica</v>
          </cell>
          <cell r="J1656">
            <v>0.37905</v>
          </cell>
          <cell r="K1656">
            <v>9.5000000000000001E-2</v>
          </cell>
          <cell r="L1656" t="str">
            <v>Kg</v>
          </cell>
          <cell r="M1656">
            <v>3.99</v>
          </cell>
        </row>
        <row r="1657">
          <cell r="H1657">
            <v>216000020</v>
          </cell>
          <cell r="I1657" t="str">
            <v>Morango</v>
          </cell>
          <cell r="J1657">
            <v>2.625</v>
          </cell>
          <cell r="K1657">
            <v>7.4999999999999997E-2</v>
          </cell>
          <cell r="L1657" t="str">
            <v>Kg</v>
          </cell>
          <cell r="M1657">
            <v>35</v>
          </cell>
        </row>
        <row r="1658">
          <cell r="H1658">
            <v>210900030</v>
          </cell>
          <cell r="I1658" t="str">
            <v>Ganache Fondue Chiquinho</v>
          </cell>
          <cell r="J1658">
            <v>4.6317142857142857</v>
          </cell>
          <cell r="K1658">
            <v>0.1</v>
          </cell>
          <cell r="L1658" t="str">
            <v>Kg</v>
          </cell>
          <cell r="M1658">
            <v>46.317142857142855</v>
          </cell>
        </row>
        <row r="1659">
          <cell r="H1659">
            <v>210200043</v>
          </cell>
          <cell r="I1659" t="str">
            <v>Copo 300 Ml Top Mix</v>
          </cell>
          <cell r="J1659">
            <v>0.65953126984126986</v>
          </cell>
          <cell r="K1659">
            <v>1</v>
          </cell>
          <cell r="L1659" t="str">
            <v>Un</v>
          </cell>
          <cell r="M1659">
            <v>0.65953126984126986</v>
          </cell>
        </row>
        <row r="1660">
          <cell r="H1660">
            <v>220100008</v>
          </cell>
          <cell r="I1660" t="str">
            <v>Guardanapo Embalado</v>
          </cell>
          <cell r="J1660">
            <v>7.1500000000000008E-2</v>
          </cell>
          <cell r="K1660">
            <v>1</v>
          </cell>
          <cell r="L1660" t="str">
            <v>Un</v>
          </cell>
          <cell r="M1660">
            <v>7.1500000000000008E-2</v>
          </cell>
        </row>
        <row r="1661">
          <cell r="H1661">
            <v>210200011</v>
          </cell>
          <cell r="I1661" t="str">
            <v>Colher Grande</v>
          </cell>
          <cell r="J1661">
            <v>0.18408533000000002</v>
          </cell>
          <cell r="K1661">
            <v>1</v>
          </cell>
          <cell r="L1661" t="str">
            <v>Un</v>
          </cell>
          <cell r="M1661">
            <v>0.18408533000000002</v>
          </cell>
        </row>
        <row r="1662">
          <cell r="B1662">
            <v>102000052</v>
          </cell>
          <cell r="C1662">
            <v>1020</v>
          </cell>
          <cell r="D1662" t="str">
            <v>TOP Fondue</v>
          </cell>
          <cell r="E1662">
            <v>12.924753695714287</v>
          </cell>
          <cell r="F1662">
            <v>46.491919768756425</v>
          </cell>
          <cell r="H1662">
            <v>216000024</v>
          </cell>
          <cell r="I1662" t="str">
            <v>Uva Italiana</v>
          </cell>
          <cell r="J1662">
            <v>0.79920000000000002</v>
          </cell>
          <cell r="K1662">
            <v>0.08</v>
          </cell>
          <cell r="L1662" t="str">
            <v>Kg</v>
          </cell>
          <cell r="M1662">
            <v>9.99</v>
          </cell>
        </row>
        <row r="1663">
          <cell r="H1663">
            <v>216000018</v>
          </cell>
          <cell r="I1663" t="str">
            <v>Banana Nanica</v>
          </cell>
          <cell r="J1663">
            <v>0.37905</v>
          </cell>
          <cell r="K1663">
            <v>9.5000000000000001E-2</v>
          </cell>
          <cell r="L1663" t="str">
            <v>Kg</v>
          </cell>
          <cell r="M1663">
            <v>3.99</v>
          </cell>
        </row>
        <row r="1664">
          <cell r="H1664">
            <v>216000020</v>
          </cell>
          <cell r="I1664" t="str">
            <v>Morango</v>
          </cell>
          <cell r="J1664">
            <v>2.625</v>
          </cell>
          <cell r="K1664">
            <v>7.4999999999999997E-2</v>
          </cell>
          <cell r="L1664" t="str">
            <v>Kg</v>
          </cell>
          <cell r="M1664">
            <v>35</v>
          </cell>
        </row>
        <row r="1665">
          <cell r="H1665">
            <v>210900030</v>
          </cell>
          <cell r="I1665" t="str">
            <v>Ganache Fondue Chiquinho</v>
          </cell>
          <cell r="J1665">
            <v>4.6317142857142857</v>
          </cell>
          <cell r="K1665">
            <v>0.1</v>
          </cell>
          <cell r="L1665" t="str">
            <v>Kg</v>
          </cell>
          <cell r="M1665">
            <v>46.317142857142855</v>
          </cell>
        </row>
        <row r="1666">
          <cell r="H1666">
            <v>216000004</v>
          </cell>
          <cell r="I1666" t="str">
            <v>Chantilly</v>
          </cell>
          <cell r="J1666">
            <v>0.99219541666666666</v>
          </cell>
          <cell r="K1666">
            <v>3.5500000000000004E-2</v>
          </cell>
          <cell r="L1666" t="str">
            <v>lt</v>
          </cell>
          <cell r="M1666">
            <v>27.949166666666663</v>
          </cell>
        </row>
        <row r="1667">
          <cell r="H1667">
            <v>216000017</v>
          </cell>
          <cell r="I1667" t="str">
            <v>Leite em Pó Ninho</v>
          </cell>
          <cell r="J1667">
            <v>0.89745333333333333</v>
          </cell>
          <cell r="K1667">
            <v>1.4499999999999999E-2</v>
          </cell>
          <cell r="L1667" t="str">
            <v>kg</v>
          </cell>
          <cell r="M1667">
            <v>61.893333333333338</v>
          </cell>
        </row>
        <row r="1668">
          <cell r="H1668">
            <v>220100012</v>
          </cell>
          <cell r="I1668" t="str">
            <v>Bandeja c/4 Divisórias</v>
          </cell>
          <cell r="J1668">
            <v>1.56273</v>
          </cell>
          <cell r="K1668">
            <v>1</v>
          </cell>
          <cell r="L1668" t="str">
            <v>Un</v>
          </cell>
          <cell r="M1668">
            <v>1.56273</v>
          </cell>
        </row>
        <row r="1669">
          <cell r="H1669">
            <v>220100014</v>
          </cell>
          <cell r="I1669" t="str">
            <v>Kit Copo 110 ml c/Tampa</v>
          </cell>
          <cell r="J1669">
            <v>0.52624000000000004</v>
          </cell>
          <cell r="K1669">
            <v>1</v>
          </cell>
          <cell r="L1669" t="str">
            <v>Un</v>
          </cell>
          <cell r="M1669">
            <v>0.52624000000000004</v>
          </cell>
        </row>
        <row r="1670">
          <cell r="H1670">
            <v>220100008</v>
          </cell>
          <cell r="I1670" t="str">
            <v>Guardanapo Embalado</v>
          </cell>
          <cell r="J1670">
            <v>0.14300000000000002</v>
          </cell>
          <cell r="K1670">
            <v>2</v>
          </cell>
          <cell r="L1670" t="str">
            <v>Un</v>
          </cell>
          <cell r="M1670">
            <v>7.1500000000000008E-2</v>
          </cell>
        </row>
        <row r="1671">
          <cell r="H1671">
            <v>210200011</v>
          </cell>
          <cell r="I1671" t="str">
            <v>Colher Grande</v>
          </cell>
          <cell r="J1671">
            <v>0.36817066000000004</v>
          </cell>
          <cell r="K1671">
            <v>2</v>
          </cell>
          <cell r="L1671" t="str">
            <v>Un</v>
          </cell>
          <cell r="M1671">
            <v>0.18408533000000002</v>
          </cell>
        </row>
        <row r="1672">
          <cell r="B1672">
            <v>102000053</v>
          </cell>
          <cell r="C1672">
            <v>1020</v>
          </cell>
          <cell r="D1672" t="str">
            <v>Fondue de Morango -200 ml</v>
          </cell>
          <cell r="E1672">
            <v>8.3658242692857137</v>
          </cell>
          <cell r="F1672">
            <v>30.092893054984579</v>
          </cell>
          <cell r="H1672">
            <v>216000020</v>
          </cell>
          <cell r="I1672" t="str">
            <v>Morango</v>
          </cell>
          <cell r="J1672">
            <v>4.2</v>
          </cell>
          <cell r="K1672">
            <v>0.12</v>
          </cell>
          <cell r="L1672" t="str">
            <v>Kg</v>
          </cell>
          <cell r="M1672">
            <v>35</v>
          </cell>
        </row>
        <row r="1673">
          <cell r="H1673">
            <v>210900030</v>
          </cell>
          <cell r="I1673" t="str">
            <v>Ganache Fondue Chiquinho</v>
          </cell>
          <cell r="J1673">
            <v>3.473785714285714</v>
          </cell>
          <cell r="K1673">
            <v>7.4999999999999997E-2</v>
          </cell>
          <cell r="L1673" t="str">
            <v>Kg</v>
          </cell>
          <cell r="M1673">
            <v>46.317142857142855</v>
          </cell>
        </row>
        <row r="1674">
          <cell r="H1674">
            <v>210200051</v>
          </cell>
          <cell r="I1674" t="str">
            <v>Copo 220 ml Poli Papel</v>
          </cell>
          <cell r="J1674">
            <v>0.436453225</v>
          </cell>
          <cell r="K1674">
            <v>1</v>
          </cell>
          <cell r="L1674" t="str">
            <v>Un</v>
          </cell>
          <cell r="M1674">
            <v>0.436453225</v>
          </cell>
        </row>
        <row r="1675">
          <cell r="H1675">
            <v>220100008</v>
          </cell>
          <cell r="I1675" t="str">
            <v>Guardanapo Embalado</v>
          </cell>
          <cell r="J1675">
            <v>7.1500000000000008E-2</v>
          </cell>
          <cell r="K1675">
            <v>1</v>
          </cell>
          <cell r="L1675" t="str">
            <v>Un</v>
          </cell>
          <cell r="M1675">
            <v>7.1500000000000008E-2</v>
          </cell>
        </row>
        <row r="1676">
          <cell r="H1676">
            <v>210200011</v>
          </cell>
          <cell r="I1676" t="str">
            <v>Colher Grande</v>
          </cell>
          <cell r="J1676">
            <v>0.18408533000000002</v>
          </cell>
          <cell r="K1676">
            <v>1</v>
          </cell>
          <cell r="L1676" t="str">
            <v>Un</v>
          </cell>
          <cell r="M1676">
            <v>0.18408533000000002</v>
          </cell>
        </row>
        <row r="1677">
          <cell r="B1677">
            <v>102000054</v>
          </cell>
          <cell r="C1677">
            <v>1020</v>
          </cell>
          <cell r="D1677" t="str">
            <v>Fondue de Morango -300 ml</v>
          </cell>
          <cell r="E1677">
            <v>12.371830885555557</v>
          </cell>
          <cell r="F1677">
            <v>44.502988796962434</v>
          </cell>
          <cell r="H1677">
            <v>216000020</v>
          </cell>
          <cell r="I1677" t="str">
            <v>Morango</v>
          </cell>
          <cell r="J1677">
            <v>6.8250000000000002</v>
          </cell>
          <cell r="K1677">
            <v>0.19500000000000001</v>
          </cell>
          <cell r="L1677" t="str">
            <v>Kg</v>
          </cell>
          <cell r="M1677">
            <v>35</v>
          </cell>
        </row>
        <row r="1678">
          <cell r="H1678">
            <v>210900030</v>
          </cell>
          <cell r="I1678" t="str">
            <v>Ganache Fondue Chiquinho</v>
          </cell>
          <cell r="J1678">
            <v>4.6317142857142857</v>
          </cell>
          <cell r="K1678">
            <v>0.1</v>
          </cell>
          <cell r="L1678" t="str">
            <v>Kg</v>
          </cell>
          <cell r="M1678">
            <v>46.317142857142855</v>
          </cell>
        </row>
        <row r="1679">
          <cell r="H1679">
            <v>210200043</v>
          </cell>
          <cell r="I1679" t="str">
            <v>Copo 300 Ml Top Mix</v>
          </cell>
          <cell r="J1679">
            <v>0.65953126984126986</v>
          </cell>
          <cell r="K1679">
            <v>1</v>
          </cell>
          <cell r="L1679" t="str">
            <v>Un</v>
          </cell>
          <cell r="M1679">
            <v>0.65953126984126986</v>
          </cell>
        </row>
        <row r="1680">
          <cell r="H1680">
            <v>220100008</v>
          </cell>
          <cell r="I1680" t="str">
            <v>Guardanapo Embalado</v>
          </cell>
          <cell r="J1680">
            <v>7.1500000000000008E-2</v>
          </cell>
          <cell r="K1680">
            <v>1</v>
          </cell>
          <cell r="L1680" t="str">
            <v>Un</v>
          </cell>
          <cell r="M1680">
            <v>7.1500000000000008E-2</v>
          </cell>
        </row>
        <row r="1681">
          <cell r="H1681">
            <v>210200011</v>
          </cell>
          <cell r="I1681" t="str">
            <v>Colher Grande</v>
          </cell>
          <cell r="J1681">
            <v>0.18408533000000002</v>
          </cell>
          <cell r="K1681">
            <v>1</v>
          </cell>
          <cell r="L1681" t="str">
            <v>Un</v>
          </cell>
          <cell r="M1681">
            <v>0.18408533000000002</v>
          </cell>
        </row>
        <row r="1682">
          <cell r="B1682">
            <v>102000055</v>
          </cell>
          <cell r="C1682">
            <v>1020</v>
          </cell>
          <cell r="D1682" t="str">
            <v>Fondue de Banana -200 ml</v>
          </cell>
          <cell r="E1682">
            <v>4.8042242692857151</v>
          </cell>
          <cell r="F1682">
            <v>17.281382263617679</v>
          </cell>
          <cell r="H1682">
            <v>216000018</v>
          </cell>
          <cell r="I1682" t="str">
            <v>Banana Nanica</v>
          </cell>
          <cell r="J1682">
            <v>0.63840000000000008</v>
          </cell>
          <cell r="K1682">
            <v>0.16</v>
          </cell>
          <cell r="L1682" t="str">
            <v>Kg</v>
          </cell>
          <cell r="M1682">
            <v>3.99</v>
          </cell>
        </row>
        <row r="1683">
          <cell r="H1683">
            <v>210900030</v>
          </cell>
          <cell r="I1683" t="str">
            <v>Ganache Fondue Chiquinho</v>
          </cell>
          <cell r="J1683">
            <v>3.473785714285714</v>
          </cell>
          <cell r="K1683">
            <v>7.4999999999999997E-2</v>
          </cell>
          <cell r="L1683" t="str">
            <v>Kg</v>
          </cell>
          <cell r="M1683">
            <v>46.317142857142855</v>
          </cell>
        </row>
        <row r="1684">
          <cell r="H1684">
            <v>220100008</v>
          </cell>
          <cell r="I1684" t="str">
            <v>Guardanapo Embalado</v>
          </cell>
          <cell r="J1684">
            <v>7.1500000000000008E-2</v>
          </cell>
          <cell r="K1684">
            <v>1</v>
          </cell>
          <cell r="L1684" t="str">
            <v>un</v>
          </cell>
          <cell r="M1684">
            <v>7.1500000000000008E-2</v>
          </cell>
        </row>
        <row r="1685">
          <cell r="H1685">
            <v>210200051</v>
          </cell>
          <cell r="I1685" t="str">
            <v>Copo 220 ml Poli Papel</v>
          </cell>
          <cell r="J1685">
            <v>0.436453225</v>
          </cell>
          <cell r="K1685">
            <v>1</v>
          </cell>
          <cell r="L1685" t="str">
            <v>Un</v>
          </cell>
          <cell r="M1685">
            <v>0.436453225</v>
          </cell>
        </row>
        <row r="1686">
          <cell r="H1686">
            <v>210200011</v>
          </cell>
          <cell r="I1686" t="str">
            <v>Colher Grande</v>
          </cell>
          <cell r="J1686">
            <v>0.18408533000000002</v>
          </cell>
          <cell r="K1686">
            <v>1</v>
          </cell>
          <cell r="L1686" t="str">
            <v>Un</v>
          </cell>
          <cell r="M1686">
            <v>0.18408533000000002</v>
          </cell>
        </row>
        <row r="1687">
          <cell r="B1687">
            <v>102000056</v>
          </cell>
          <cell r="C1687">
            <v>1020</v>
          </cell>
          <cell r="D1687" t="str">
            <v>Fondue de Banana -300 ml</v>
          </cell>
          <cell r="E1687">
            <v>6.8236308855555565</v>
          </cell>
          <cell r="F1687">
            <v>24.5454348401279</v>
          </cell>
          <cell r="H1687">
            <v>216000018</v>
          </cell>
          <cell r="I1687" t="str">
            <v>Banana Nanica</v>
          </cell>
          <cell r="J1687">
            <v>1.2768000000000002</v>
          </cell>
          <cell r="K1687">
            <v>0.32</v>
          </cell>
          <cell r="L1687" t="str">
            <v>Kg</v>
          </cell>
          <cell r="M1687">
            <v>3.99</v>
          </cell>
        </row>
        <row r="1688">
          <cell r="H1688">
            <v>210900030</v>
          </cell>
          <cell r="I1688" t="str">
            <v>Ganache Fondue Chiquinho</v>
          </cell>
          <cell r="J1688">
            <v>4.6317142857142857</v>
          </cell>
          <cell r="K1688">
            <v>0.1</v>
          </cell>
          <cell r="L1688" t="str">
            <v>Kg</v>
          </cell>
          <cell r="M1688">
            <v>46.317142857142855</v>
          </cell>
        </row>
        <row r="1689">
          <cell r="H1689">
            <v>220100008</v>
          </cell>
          <cell r="I1689" t="str">
            <v>Guardanapo Embalado</v>
          </cell>
          <cell r="J1689">
            <v>7.1500000000000008E-2</v>
          </cell>
          <cell r="K1689">
            <v>1</v>
          </cell>
          <cell r="L1689" t="str">
            <v>un</v>
          </cell>
          <cell r="M1689">
            <v>7.1500000000000008E-2</v>
          </cell>
        </row>
        <row r="1690">
          <cell r="H1690">
            <v>210200043</v>
          </cell>
          <cell r="I1690" t="str">
            <v>Copo 300 Ml Top Mix</v>
          </cell>
          <cell r="J1690">
            <v>0.65953126984126986</v>
          </cell>
          <cell r="K1690">
            <v>1</v>
          </cell>
          <cell r="L1690" t="str">
            <v>Un</v>
          </cell>
          <cell r="M1690">
            <v>0.65953126984126986</v>
          </cell>
        </row>
        <row r="1691">
          <cell r="H1691">
            <v>210200011</v>
          </cell>
          <cell r="I1691" t="str">
            <v>Colher Grande</v>
          </cell>
          <cell r="J1691">
            <v>0.18408533000000002</v>
          </cell>
          <cell r="K1691">
            <v>1</v>
          </cell>
          <cell r="L1691" t="str">
            <v>Un</v>
          </cell>
          <cell r="M1691">
            <v>0.18408533000000002</v>
          </cell>
        </row>
        <row r="1692">
          <cell r="B1692">
            <v>102000057</v>
          </cell>
          <cell r="C1692">
            <v>1020</v>
          </cell>
          <cell r="D1692" t="str">
            <v>Fondue de Uva -200 ml</v>
          </cell>
          <cell r="E1692">
            <v>5.4645242692857146</v>
          </cell>
          <cell r="F1692">
            <v>19.656562119732783</v>
          </cell>
          <cell r="H1692">
            <v>216000024</v>
          </cell>
          <cell r="I1692" t="str">
            <v>Uva Italiana</v>
          </cell>
          <cell r="J1692">
            <v>1.2987</v>
          </cell>
          <cell r="K1692">
            <v>0.13</v>
          </cell>
          <cell r="L1692" t="str">
            <v>Kg</v>
          </cell>
          <cell r="M1692">
            <v>9.99</v>
          </cell>
        </row>
        <row r="1693">
          <cell r="H1693">
            <v>210900030</v>
          </cell>
          <cell r="I1693" t="str">
            <v>Ganache Fondue Chiquinho</v>
          </cell>
          <cell r="J1693">
            <v>3.473785714285714</v>
          </cell>
          <cell r="K1693">
            <v>7.4999999999999997E-2</v>
          </cell>
          <cell r="L1693" t="str">
            <v>Kg</v>
          </cell>
          <cell r="M1693">
            <v>46.317142857142855</v>
          </cell>
        </row>
        <row r="1694">
          <cell r="H1694">
            <v>220100008</v>
          </cell>
          <cell r="I1694" t="str">
            <v>Guardanapo Embalado</v>
          </cell>
          <cell r="J1694">
            <v>7.1500000000000008E-2</v>
          </cell>
          <cell r="K1694">
            <v>1</v>
          </cell>
          <cell r="L1694" t="str">
            <v>un</v>
          </cell>
          <cell r="M1694">
            <v>7.1500000000000008E-2</v>
          </cell>
        </row>
        <row r="1695">
          <cell r="H1695">
            <v>210200051</v>
          </cell>
          <cell r="I1695" t="str">
            <v>Copo 220 ml Poli Papel</v>
          </cell>
          <cell r="J1695">
            <v>0.436453225</v>
          </cell>
          <cell r="K1695">
            <v>1</v>
          </cell>
          <cell r="L1695" t="str">
            <v>Un</v>
          </cell>
          <cell r="M1695">
            <v>0.436453225</v>
          </cell>
        </row>
        <row r="1696">
          <cell r="H1696">
            <v>210200011</v>
          </cell>
          <cell r="I1696" t="str">
            <v>Colher Grande</v>
          </cell>
          <cell r="J1696">
            <v>0.18408533000000002</v>
          </cell>
          <cell r="K1696">
            <v>1</v>
          </cell>
          <cell r="L1696" t="str">
            <v>Un</v>
          </cell>
          <cell r="M1696">
            <v>0.18408533000000002</v>
          </cell>
        </row>
        <row r="1697">
          <cell r="B1697">
            <v>102000058</v>
          </cell>
          <cell r="C1697">
            <v>1020</v>
          </cell>
          <cell r="D1697" t="str">
            <v>Fondue de Uva -300 ml</v>
          </cell>
          <cell r="E1697">
            <v>7.7446308855555559</v>
          </cell>
          <cell r="F1697">
            <v>27.858384480415666</v>
          </cell>
          <cell r="H1697">
            <v>216000024</v>
          </cell>
          <cell r="I1697" t="str">
            <v>Uva Italiana</v>
          </cell>
          <cell r="J1697">
            <v>2.1978</v>
          </cell>
          <cell r="K1697">
            <v>0.22</v>
          </cell>
          <cell r="L1697" t="str">
            <v>Kg</v>
          </cell>
          <cell r="M1697">
            <v>9.99</v>
          </cell>
        </row>
        <row r="1698">
          <cell r="H1698">
            <v>210900030</v>
          </cell>
          <cell r="I1698" t="str">
            <v>Ganache Fondue Chiquinho</v>
          </cell>
          <cell r="J1698">
            <v>4.6317142857142857</v>
          </cell>
          <cell r="K1698">
            <v>0.1</v>
          </cell>
          <cell r="L1698" t="str">
            <v>Kg</v>
          </cell>
          <cell r="M1698">
            <v>46.317142857142855</v>
          </cell>
        </row>
        <row r="1699">
          <cell r="H1699">
            <v>220100008</v>
          </cell>
          <cell r="I1699" t="str">
            <v>Guardanapo Embalado</v>
          </cell>
          <cell r="J1699">
            <v>7.1500000000000008E-2</v>
          </cell>
          <cell r="K1699">
            <v>1</v>
          </cell>
          <cell r="L1699" t="str">
            <v>un</v>
          </cell>
          <cell r="M1699">
            <v>7.1500000000000008E-2</v>
          </cell>
        </row>
        <row r="1700">
          <cell r="H1700">
            <v>210200043</v>
          </cell>
          <cell r="I1700" t="str">
            <v>Copo 300 Ml Top Mix</v>
          </cell>
          <cell r="J1700">
            <v>0.65953126984126986</v>
          </cell>
          <cell r="K1700">
            <v>1</v>
          </cell>
          <cell r="L1700" t="str">
            <v>Un</v>
          </cell>
          <cell r="M1700">
            <v>0.65953126984126986</v>
          </cell>
        </row>
        <row r="1701">
          <cell r="H1701">
            <v>210200011</v>
          </cell>
          <cell r="I1701" t="str">
            <v>Colher Grande</v>
          </cell>
          <cell r="J1701">
            <v>0.18408533000000002</v>
          </cell>
          <cell r="K1701">
            <v>1</v>
          </cell>
          <cell r="L1701" t="str">
            <v>Un</v>
          </cell>
          <cell r="M1701">
            <v>0.18408533000000002</v>
          </cell>
        </row>
        <row r="1702">
          <cell r="B1702">
            <v>102000010</v>
          </cell>
          <cell r="C1702">
            <v>1020</v>
          </cell>
          <cell r="D1702" t="str">
            <v>Canecake c/ Chantilly e Ganache</v>
          </cell>
          <cell r="E1702">
            <v>15.009802192248365</v>
          </cell>
          <cell r="F1702">
            <v>22.286648926500089</v>
          </cell>
          <cell r="H1702">
            <v>216000004</v>
          </cell>
          <cell r="I1702" t="str">
            <v>Chantilly</v>
          </cell>
          <cell r="J1702">
            <v>0.55339349999999998</v>
          </cell>
          <cell r="K1702">
            <v>1.9800000000000002E-2</v>
          </cell>
          <cell r="L1702" t="str">
            <v>un</v>
          </cell>
          <cell r="M1702">
            <v>27.949166666666663</v>
          </cell>
        </row>
        <row r="1703">
          <cell r="H1703">
            <v>201000028</v>
          </cell>
          <cell r="I1703" t="str">
            <v>Gás Oxido Nitroso/1Kg</v>
          </cell>
          <cell r="J1703">
            <v>1.8700000000000001E-2</v>
          </cell>
          <cell r="K1703">
            <v>2.0000000000000001E-4</v>
          </cell>
          <cell r="L1703" t="str">
            <v>Lt</v>
          </cell>
          <cell r="M1703">
            <v>93.5</v>
          </cell>
        </row>
        <row r="1704">
          <cell r="H1704">
            <v>216100008</v>
          </cell>
          <cell r="I1704" t="str">
            <v>Bolo Canecake Chocolate</v>
          </cell>
          <cell r="J1704">
            <v>1.1738133333333334</v>
          </cell>
          <cell r="K1704">
            <v>2.8000000000000001E-2</v>
          </cell>
          <cell r="L1704" t="str">
            <v>Kg</v>
          </cell>
          <cell r="M1704">
            <v>41.921904761904763</v>
          </cell>
        </row>
        <row r="1705">
          <cell r="H1705">
            <v>216000016</v>
          </cell>
          <cell r="I1705" t="str">
            <v>Leite Integral</v>
          </cell>
          <cell r="J1705">
            <v>0.12</v>
          </cell>
          <cell r="K1705">
            <v>0.03</v>
          </cell>
          <cell r="L1705" t="str">
            <v>Lt</v>
          </cell>
          <cell r="M1705">
            <v>4</v>
          </cell>
        </row>
        <row r="1706">
          <cell r="H1706">
            <v>216100007</v>
          </cell>
          <cell r="I1706" t="str">
            <v>Ganache Chiquinho</v>
          </cell>
          <cell r="J1706">
            <v>0.62204999999999999</v>
          </cell>
          <cell r="K1706">
            <v>1.4999999999999999E-2</v>
          </cell>
          <cell r="L1706" t="str">
            <v>kg</v>
          </cell>
          <cell r="M1706">
            <v>41.47</v>
          </cell>
        </row>
        <row r="1707">
          <cell r="H1707">
            <v>210200011</v>
          </cell>
          <cell r="I1707" t="str">
            <v>Colher Grande</v>
          </cell>
          <cell r="J1707">
            <v>0.18408533000000002</v>
          </cell>
          <cell r="K1707">
            <v>1</v>
          </cell>
          <cell r="L1707" t="str">
            <v>Kg</v>
          </cell>
          <cell r="M1707">
            <v>0.18408533000000002</v>
          </cell>
        </row>
        <row r="1708">
          <cell r="H1708">
            <v>220100008</v>
          </cell>
          <cell r="I1708" t="str">
            <v>Guardanapo Embalado</v>
          </cell>
          <cell r="J1708">
            <v>7.1500000000000008E-2</v>
          </cell>
          <cell r="K1708">
            <v>1</v>
          </cell>
          <cell r="L1708" t="str">
            <v>un</v>
          </cell>
          <cell r="M1708">
            <v>7.1500000000000008E-2</v>
          </cell>
        </row>
        <row r="1709">
          <cell r="H1709">
            <v>210900012</v>
          </cell>
          <cell r="I1709" t="str">
            <v>Suflair Nestle</v>
          </cell>
          <cell r="J1709">
            <v>5.8346191406250004E-2</v>
          </cell>
          <cell r="K1709">
            <v>5.0000000000000001E-4</v>
          </cell>
          <cell r="L1709" t="str">
            <v>kg</v>
          </cell>
          <cell r="M1709">
            <v>116.6923828125</v>
          </cell>
        </row>
        <row r="1710">
          <cell r="H1710">
            <v>215000011</v>
          </cell>
          <cell r="I1710" t="str">
            <v>Brinde caneca canecake - Porcelana</v>
          </cell>
          <cell r="J1710">
            <v>12.207913837508782</v>
          </cell>
          <cell r="K1710">
            <v>1</v>
          </cell>
          <cell r="L1710" t="str">
            <v>Un</v>
          </cell>
          <cell r="M1710">
            <v>10.428000000000001</v>
          </cell>
        </row>
        <row r="1711">
          <cell r="B1711">
            <v>102000011</v>
          </cell>
          <cell r="C1711">
            <v>1020</v>
          </cell>
          <cell r="D1711" t="str">
            <v>Canecake c/Sorvete e Ganache</v>
          </cell>
          <cell r="E1711">
            <v>15.583558992248365</v>
          </cell>
          <cell r="F1711">
            <v>24.350522307795053</v>
          </cell>
          <cell r="H1711">
            <v>210100001</v>
          </cell>
          <cell r="I1711" t="str">
            <v>Bebida Láctea Uht (Baunilha)</v>
          </cell>
          <cell r="J1711">
            <v>1.1458503</v>
          </cell>
          <cell r="K1711">
            <v>0.105</v>
          </cell>
          <cell r="L1711" t="str">
            <v>Lt</v>
          </cell>
          <cell r="M1711">
            <v>10.91286</v>
          </cell>
        </row>
        <row r="1712">
          <cell r="H1712">
            <v>216100008</v>
          </cell>
          <cell r="I1712" t="str">
            <v>Bolo Canecake Chocolate</v>
          </cell>
          <cell r="J1712">
            <v>1.1738133333333334</v>
          </cell>
          <cell r="K1712">
            <v>2.8000000000000001E-2</v>
          </cell>
          <cell r="L1712" t="str">
            <v>Kg</v>
          </cell>
          <cell r="M1712">
            <v>41.921904761904763</v>
          </cell>
        </row>
        <row r="1713">
          <cell r="H1713">
            <v>216000016</v>
          </cell>
          <cell r="I1713" t="str">
            <v>Leite Integral</v>
          </cell>
          <cell r="J1713">
            <v>0.12</v>
          </cell>
          <cell r="K1713">
            <v>0.03</v>
          </cell>
          <cell r="L1713" t="str">
            <v>Lt</v>
          </cell>
          <cell r="M1713">
            <v>4</v>
          </cell>
        </row>
        <row r="1714">
          <cell r="H1714">
            <v>216100007</v>
          </cell>
          <cell r="I1714" t="str">
            <v>Ganache Chiquinho</v>
          </cell>
          <cell r="J1714">
            <v>0.62204999999999999</v>
          </cell>
          <cell r="K1714">
            <v>1.4999999999999999E-2</v>
          </cell>
          <cell r="L1714" t="str">
            <v>kg</v>
          </cell>
          <cell r="M1714">
            <v>41.47</v>
          </cell>
        </row>
        <row r="1715">
          <cell r="H1715">
            <v>210200011</v>
          </cell>
          <cell r="I1715" t="str">
            <v>Colher Grande</v>
          </cell>
          <cell r="J1715">
            <v>0.18408533000000002</v>
          </cell>
          <cell r="K1715">
            <v>1</v>
          </cell>
          <cell r="L1715" t="str">
            <v>Kg</v>
          </cell>
          <cell r="M1715">
            <v>0.18408533000000002</v>
          </cell>
        </row>
        <row r="1716">
          <cell r="H1716">
            <v>220100008</v>
          </cell>
          <cell r="I1716" t="str">
            <v>Guardanapo Embalado</v>
          </cell>
          <cell r="J1716">
            <v>7.1500000000000008E-2</v>
          </cell>
          <cell r="K1716">
            <v>1</v>
          </cell>
          <cell r="L1716" t="str">
            <v>un</v>
          </cell>
          <cell r="M1716">
            <v>7.1500000000000008E-2</v>
          </cell>
        </row>
        <row r="1717">
          <cell r="H1717">
            <v>210900012</v>
          </cell>
          <cell r="I1717" t="str">
            <v>Suflair Nestle</v>
          </cell>
          <cell r="J1717">
            <v>5.8346191406250004E-2</v>
          </cell>
          <cell r="K1717">
            <v>5.0000000000000001E-4</v>
          </cell>
          <cell r="L1717" t="str">
            <v>kg</v>
          </cell>
          <cell r="M1717">
            <v>116.6923828125</v>
          </cell>
        </row>
        <row r="1718">
          <cell r="H1718">
            <v>215000011</v>
          </cell>
          <cell r="I1718" t="str">
            <v>Brinde caneca canecake - Porcelana</v>
          </cell>
          <cell r="J1718">
            <v>12.207913837508782</v>
          </cell>
          <cell r="K1718">
            <v>1</v>
          </cell>
          <cell r="L1718" t="str">
            <v>Un</v>
          </cell>
          <cell r="M1718">
            <v>10.428000000000001</v>
          </cell>
        </row>
        <row r="1719">
          <cell r="B1719">
            <v>102000012</v>
          </cell>
          <cell r="C1719">
            <v>1020</v>
          </cell>
          <cell r="D1719" t="str">
            <v>Ad. C Morango</v>
          </cell>
          <cell r="E1719">
            <v>1.575</v>
          </cell>
          <cell r="F1719">
            <v>5.6654676258992795</v>
          </cell>
          <cell r="H1719">
            <v>216000020</v>
          </cell>
          <cell r="I1719" t="str">
            <v>Morango</v>
          </cell>
          <cell r="J1719">
            <v>1.575</v>
          </cell>
          <cell r="K1719">
            <v>4.4999999999999998E-2</v>
          </cell>
          <cell r="L1719" t="str">
            <v>kg</v>
          </cell>
          <cell r="M1719">
            <v>35</v>
          </cell>
        </row>
        <row r="1720">
          <cell r="B1720">
            <v>102000013</v>
          </cell>
          <cell r="C1720">
            <v>1020</v>
          </cell>
          <cell r="D1720" t="str">
            <v>Ad.C Banana</v>
          </cell>
          <cell r="E1720">
            <v>0.25935000000000002</v>
          </cell>
          <cell r="F1720">
            <v>0.93291366906474815</v>
          </cell>
          <cell r="H1720">
            <v>216000018</v>
          </cell>
          <cell r="I1720" t="str">
            <v>Banana Nanica</v>
          </cell>
          <cell r="J1720">
            <v>0.25935000000000002</v>
          </cell>
          <cell r="K1720">
            <v>6.5000000000000002E-2</v>
          </cell>
          <cell r="L1720" t="str">
            <v>kg</v>
          </cell>
          <cell r="M1720">
            <v>3.99</v>
          </cell>
        </row>
        <row r="1721">
          <cell r="B1721">
            <v>102000014</v>
          </cell>
          <cell r="C1721">
            <v>1020</v>
          </cell>
          <cell r="D1721" t="str">
            <v>Ad.C Nutella</v>
          </cell>
          <cell r="E1721">
            <v>2.5369079999999999</v>
          </cell>
          <cell r="F1721">
            <v>9.1255683453237406</v>
          </cell>
          <cell r="H1721">
            <v>216000050</v>
          </cell>
          <cell r="I1721" t="str">
            <v>Nutella</v>
          </cell>
          <cell r="J1721">
            <v>2.5369079999999999</v>
          </cell>
          <cell r="K1721">
            <v>3.5999999999999997E-2</v>
          </cell>
          <cell r="L1721" t="str">
            <v>kg</v>
          </cell>
          <cell r="M1721">
            <v>70.469666666666669</v>
          </cell>
        </row>
        <row r="1722">
          <cell r="B1722">
            <v>102000015</v>
          </cell>
          <cell r="C1722">
            <v>1020</v>
          </cell>
          <cell r="D1722" t="str">
            <v>Ad.C Polpa de Frutas Vermelhas</v>
          </cell>
          <cell r="E1722">
            <v>0.97674390243902443</v>
          </cell>
          <cell r="F1722">
            <v>3.5134672749605191</v>
          </cell>
          <cell r="H1722">
            <v>210400020</v>
          </cell>
          <cell r="I1722" t="str">
            <v>Polpa de Frutas Vermelhas</v>
          </cell>
          <cell r="J1722">
            <v>0.97674390243902443</v>
          </cell>
          <cell r="K1722">
            <v>2.5000000000000001E-2</v>
          </cell>
          <cell r="L1722" t="str">
            <v>kg</v>
          </cell>
          <cell r="M1722">
            <v>39.069756097560976</v>
          </cell>
        </row>
        <row r="1723">
          <cell r="B1723">
            <v>102000016</v>
          </cell>
          <cell r="C1723">
            <v>1020</v>
          </cell>
          <cell r="D1723" t="str">
            <v>Ad.C Doce de leite</v>
          </cell>
          <cell r="E1723">
            <v>0.65429375000000001</v>
          </cell>
          <cell r="F1723">
            <v>2.3535746402877695</v>
          </cell>
          <cell r="H1723">
            <v>216000015</v>
          </cell>
          <cell r="I1723" t="str">
            <v>Doce de Leite</v>
          </cell>
          <cell r="J1723">
            <v>0.65429375000000001</v>
          </cell>
          <cell r="K1723">
            <v>0.03</v>
          </cell>
          <cell r="L1723" t="str">
            <v>kg</v>
          </cell>
          <cell r="M1723">
            <v>21.809791666666669</v>
          </cell>
        </row>
        <row r="1724">
          <cell r="B1724">
            <v>102000017</v>
          </cell>
          <cell r="C1724">
            <v>1020</v>
          </cell>
          <cell r="D1724" t="str">
            <v>Ad.C Chocolate Trufado</v>
          </cell>
          <cell r="E1724">
            <v>1.337142857142857</v>
          </cell>
          <cell r="F1724">
            <v>4.8098663926002043</v>
          </cell>
          <cell r="H1724">
            <v>210900018</v>
          </cell>
          <cell r="I1724" t="str">
            <v>Trufada Chiquinho</v>
          </cell>
          <cell r="J1724">
            <v>1.337142857142857</v>
          </cell>
          <cell r="K1724">
            <v>0.03</v>
          </cell>
          <cell r="L1724" t="str">
            <v>kg</v>
          </cell>
          <cell r="M1724">
            <v>44.571428571428569</v>
          </cell>
        </row>
        <row r="1725">
          <cell r="B1725">
            <v>102000018</v>
          </cell>
          <cell r="C1725">
            <v>1020</v>
          </cell>
          <cell r="D1725" t="str">
            <v>Ad.C Creme de Leite em pó</v>
          </cell>
          <cell r="E1725">
            <v>0.75585949999999991</v>
          </cell>
          <cell r="F1725">
            <v>2.7189190647482007</v>
          </cell>
          <cell r="H1725">
            <v>216000004</v>
          </cell>
          <cell r="I1725" t="str">
            <v>Chantilly</v>
          </cell>
          <cell r="J1725">
            <v>0.39687816666666664</v>
          </cell>
          <cell r="K1725">
            <v>1.4200000000000001E-2</v>
          </cell>
          <cell r="L1725" t="str">
            <v>lt</v>
          </cell>
          <cell r="M1725">
            <v>27.949166666666663</v>
          </cell>
        </row>
        <row r="1726">
          <cell r="H1726">
            <v>216000017</v>
          </cell>
          <cell r="I1726" t="str">
            <v>Leite em Pó Ninho</v>
          </cell>
          <cell r="J1726">
            <v>0.35898133333333332</v>
          </cell>
          <cell r="K1726">
            <v>5.7999999999999996E-3</v>
          </cell>
          <cell r="L1726" t="str">
            <v>kg</v>
          </cell>
          <cell r="M1726">
            <v>61.893333333333338</v>
          </cell>
        </row>
        <row r="1727">
          <cell r="B1727">
            <v>102000019</v>
          </cell>
          <cell r="C1727">
            <v>1020</v>
          </cell>
          <cell r="D1727" t="str">
            <v>Ad.C Leite Condesado Moça</v>
          </cell>
          <cell r="E1727">
            <v>0.7024683544303798</v>
          </cell>
          <cell r="F1727">
            <v>2.5268645842819417</v>
          </cell>
          <cell r="H1727">
            <v>216000013</v>
          </cell>
          <cell r="I1727" t="str">
            <v>Leite Condensado</v>
          </cell>
          <cell r="J1727">
            <v>0.7024683544303798</v>
          </cell>
          <cell r="K1727">
            <v>2.5000000000000001E-2</v>
          </cell>
          <cell r="L1727" t="str">
            <v>kg</v>
          </cell>
          <cell r="M1727">
            <v>28.098734177215189</v>
          </cell>
        </row>
        <row r="1728">
          <cell r="B1728">
            <v>102000020</v>
          </cell>
          <cell r="C1728">
            <v>1020</v>
          </cell>
          <cell r="D1728" t="str">
            <v>Ad.C Kit Kat</v>
          </cell>
          <cell r="E1728">
            <v>1.7103219126506024</v>
          </cell>
          <cell r="F1728">
            <v>6.152237095865476</v>
          </cell>
          <cell r="H1728">
            <v>210900011</v>
          </cell>
          <cell r="I1728" t="str">
            <v>Kit Kat</v>
          </cell>
          <cell r="J1728">
            <v>1.7103219126506024</v>
          </cell>
          <cell r="K1728">
            <v>2.07E-2</v>
          </cell>
          <cell r="L1728" t="str">
            <v>kg</v>
          </cell>
          <cell r="M1728">
            <v>82.624246987951807</v>
          </cell>
        </row>
        <row r="1729">
          <cell r="B1729">
            <v>102000021</v>
          </cell>
          <cell r="C1729">
            <v>1020</v>
          </cell>
          <cell r="D1729" t="str">
            <v>Ad.C Mini Disqueti</v>
          </cell>
          <cell r="E1729">
            <v>1.6478000000000002</v>
          </cell>
          <cell r="F1729">
            <v>5.9273381294964027</v>
          </cell>
          <cell r="H1729">
            <v>210900002</v>
          </cell>
          <cell r="I1729" t="str">
            <v>Mini Disqueti - Dori</v>
          </cell>
          <cell r="J1729">
            <v>1.6478000000000002</v>
          </cell>
          <cell r="K1729">
            <v>2.5000000000000001E-2</v>
          </cell>
          <cell r="L1729" t="str">
            <v>kg</v>
          </cell>
          <cell r="M1729">
            <v>65.912000000000006</v>
          </cell>
        </row>
        <row r="1730">
          <cell r="B1730">
            <v>102000022</v>
          </cell>
          <cell r="C1730">
            <v>1020</v>
          </cell>
          <cell r="D1730" t="str">
            <v>Ad.C Farofa Especial</v>
          </cell>
          <cell r="E1730">
            <v>0.47743465346534664</v>
          </cell>
          <cell r="F1730">
            <v>1.717390839803405</v>
          </cell>
          <cell r="H1730">
            <v>216000027</v>
          </cell>
          <cell r="I1730" t="str">
            <v>Farofa Crocante</v>
          </cell>
          <cell r="J1730">
            <v>0.47743465346534664</v>
          </cell>
          <cell r="K1730">
            <v>1.4E-2</v>
          </cell>
          <cell r="L1730" t="str">
            <v>kg</v>
          </cell>
          <cell r="M1730">
            <v>34.102475247524758</v>
          </cell>
        </row>
        <row r="1731">
          <cell r="B1731">
            <v>102000023</v>
          </cell>
          <cell r="C1731">
            <v>1020</v>
          </cell>
          <cell r="D1731" t="str">
            <v>Ad.C Creme Crocante Ovomaltine</v>
          </cell>
          <cell r="E1731">
            <v>2.0875799999999995</v>
          </cell>
          <cell r="F1731">
            <v>7.5092805755395657</v>
          </cell>
          <cell r="H1731">
            <v>216000039</v>
          </cell>
          <cell r="I1731" t="str">
            <v>Creme Crocante</v>
          </cell>
          <cell r="J1731">
            <v>2.0875799999999995</v>
          </cell>
          <cell r="K1731">
            <v>3.5999999999999997E-2</v>
          </cell>
          <cell r="L1731" t="str">
            <v>kg</v>
          </cell>
          <cell r="M1731">
            <v>57.98833333333333</v>
          </cell>
        </row>
        <row r="1732">
          <cell r="B1732">
            <v>102000024</v>
          </cell>
          <cell r="C1732">
            <v>1020</v>
          </cell>
          <cell r="D1732" t="str">
            <v xml:space="preserve">Ad.C. Creme de Pistache </v>
          </cell>
          <cell r="E1732">
            <v>1.22881</v>
          </cell>
          <cell r="F1732">
            <v>4.4201798561151078</v>
          </cell>
          <cell r="H1732">
            <v>216000004</v>
          </cell>
          <cell r="I1732" t="str">
            <v>Chantilly</v>
          </cell>
          <cell r="J1732">
            <v>0.31054629629629626</v>
          </cell>
          <cell r="K1732">
            <v>1.1111111111111112E-2</v>
          </cell>
          <cell r="L1732" t="str">
            <v>lt</v>
          </cell>
          <cell r="M1732">
            <v>27.949166666666663</v>
          </cell>
        </row>
        <row r="1733">
          <cell r="H1733">
            <v>216000068</v>
          </cell>
          <cell r="I1733" t="str">
            <v>Crempistache</v>
          </cell>
          <cell r="J1733">
            <v>0.64318222222222221</v>
          </cell>
          <cell r="K1733">
            <v>4.4444444444444444E-3</v>
          </cell>
          <cell r="L1733" t="str">
            <v>KG</v>
          </cell>
          <cell r="M1733">
            <v>144.71600000000001</v>
          </cell>
        </row>
        <row r="1734">
          <cell r="H1734">
            <v>216000017</v>
          </cell>
          <cell r="I1734" t="str">
            <v>Leite em Pó Ninho</v>
          </cell>
          <cell r="J1734">
            <v>0.27508148148148148</v>
          </cell>
          <cell r="K1734">
            <v>4.4444444444444444E-3</v>
          </cell>
          <cell r="L1734" t="str">
            <v>KG</v>
          </cell>
          <cell r="M1734">
            <v>61.893333333333338</v>
          </cell>
        </row>
        <row r="1735">
          <cell r="B1735">
            <v>102000025</v>
          </cell>
          <cell r="C1735">
            <v>1020</v>
          </cell>
          <cell r="D1735" t="str">
            <v>Ad.C Ouro Branco</v>
          </cell>
          <cell r="E1735">
            <v>2.1093600000000001</v>
          </cell>
          <cell r="F1735">
            <v>7.5876258992805754</v>
          </cell>
          <cell r="H1735">
            <v>210900026</v>
          </cell>
          <cell r="I1735" t="str">
            <v>Bombom Ouro Branco</v>
          </cell>
          <cell r="J1735">
            <v>2.1093600000000001</v>
          </cell>
          <cell r="K1735">
            <v>2</v>
          </cell>
          <cell r="L1735" t="str">
            <v>un</v>
          </cell>
          <cell r="M1735">
            <v>1.0546800000000001</v>
          </cell>
        </row>
        <row r="1736">
          <cell r="B1736">
            <v>102000026</v>
          </cell>
          <cell r="C1736">
            <v>1020</v>
          </cell>
          <cell r="D1736" t="str">
            <v>Ad.C Calda do Fondue</v>
          </cell>
          <cell r="E1736">
            <v>1.1579285714285714</v>
          </cell>
          <cell r="F1736">
            <v>4.1652106885919835</v>
          </cell>
          <cell r="H1736">
            <v>210900030</v>
          </cell>
          <cell r="I1736" t="str">
            <v>Ganache Fondue Chiquinho</v>
          </cell>
          <cell r="J1736">
            <v>1.1579285714285714</v>
          </cell>
          <cell r="K1736">
            <v>2.5000000000000001E-2</v>
          </cell>
          <cell r="L1736" t="str">
            <v>kg</v>
          </cell>
          <cell r="M1736">
            <v>46.317142857142855</v>
          </cell>
        </row>
        <row r="1737">
          <cell r="B1737">
            <v>102000027</v>
          </cell>
          <cell r="C1737">
            <v>1020</v>
          </cell>
          <cell r="D1737" t="str">
            <v>Ad. Creme Puro Leite</v>
          </cell>
          <cell r="E1737">
            <v>0.85799999999999987</v>
          </cell>
          <cell r="F1737">
            <v>3.086330935251798</v>
          </cell>
          <cell r="H1737">
            <v>216000077</v>
          </cell>
          <cell r="I1737" t="str">
            <v>Caribe Leitinho</v>
          </cell>
          <cell r="J1737">
            <v>0.85799999999999987</v>
          </cell>
          <cell r="K1737">
            <v>0.03</v>
          </cell>
          <cell r="L1737" t="str">
            <v>kg</v>
          </cell>
          <cell r="M1737">
            <v>28.599999999999998</v>
          </cell>
        </row>
        <row r="1738">
          <cell r="B1738">
            <v>102000028</v>
          </cell>
          <cell r="C1738">
            <v>1020</v>
          </cell>
          <cell r="D1738" t="str">
            <v>Ad. Doce de Abobora com Coco</v>
          </cell>
          <cell r="E1738">
            <v>0.65653861386138612</v>
          </cell>
          <cell r="F1738">
            <v>2.3616496901488708</v>
          </cell>
          <cell r="H1738">
            <v>216000082</v>
          </cell>
          <cell r="I1738" t="str">
            <v>Abobora com Coco</v>
          </cell>
          <cell r="J1738">
            <v>0.65653861386138612</v>
          </cell>
          <cell r="K1738">
            <v>3.2000000000000001E-2</v>
          </cell>
          <cell r="L1738" t="str">
            <v>kg</v>
          </cell>
          <cell r="M1738">
            <v>20.516831683168316</v>
          </cell>
        </row>
        <row r="1739">
          <cell r="B1739">
            <v>102000029</v>
          </cell>
          <cell r="C1739">
            <v>1020</v>
          </cell>
          <cell r="D1739" t="str">
            <v>Ad.Creme Tapioca</v>
          </cell>
          <cell r="E1739">
            <v>1.2246000000000001</v>
          </cell>
          <cell r="F1739">
            <v>4.4050359712230218</v>
          </cell>
          <cell r="H1739">
            <v>216000081</v>
          </cell>
          <cell r="I1739" t="str">
            <v>Creme de Tapioca</v>
          </cell>
          <cell r="J1739">
            <v>1.2246000000000001</v>
          </cell>
          <cell r="K1739">
            <v>0.03</v>
          </cell>
          <cell r="L1739" t="str">
            <v>kg</v>
          </cell>
          <cell r="M1739">
            <v>40.820000000000007</v>
          </cell>
        </row>
        <row r="1740">
          <cell r="B1740">
            <v>102000030</v>
          </cell>
          <cell r="C1740">
            <v>1020</v>
          </cell>
          <cell r="D1740" t="str">
            <v>Ad.Creme Coco Malásia</v>
          </cell>
          <cell r="E1740">
            <v>2.5987</v>
          </cell>
          <cell r="F1740">
            <v>9.3478417266187037</v>
          </cell>
          <cell r="H1740">
            <v>216000079</v>
          </cell>
          <cell r="I1740" t="str">
            <v>Creme Coco Malasia</v>
          </cell>
          <cell r="J1740">
            <v>2.5987</v>
          </cell>
          <cell r="K1740">
            <v>0.03</v>
          </cell>
          <cell r="L1740" t="str">
            <v>kg</v>
          </cell>
          <cell r="M1740">
            <v>86.623333333333335</v>
          </cell>
        </row>
        <row r="1741">
          <cell r="B1741">
            <v>102000080</v>
          </cell>
          <cell r="C1741">
            <v>1022</v>
          </cell>
          <cell r="D1741" t="str">
            <v>Brownie Clássico</v>
          </cell>
          <cell r="E1741">
            <v>8.007140549999999</v>
          </cell>
          <cell r="F1741">
            <v>28.802663848920858</v>
          </cell>
          <cell r="H1741">
            <v>210100001</v>
          </cell>
          <cell r="I1741" t="str">
            <v>Bebida Láctea Uht (Baunilha)</v>
          </cell>
          <cell r="J1741">
            <v>0.84029021999999998</v>
          </cell>
          <cell r="K1741">
            <v>7.6999999999999999E-2</v>
          </cell>
          <cell r="L1741" t="str">
            <v>lt</v>
          </cell>
          <cell r="M1741">
            <v>10.91286</v>
          </cell>
        </row>
        <row r="1742">
          <cell r="H1742">
            <v>216100007</v>
          </cell>
          <cell r="I1742" t="str">
            <v>Ganache Chiquinho</v>
          </cell>
          <cell r="J1742">
            <v>1.2441</v>
          </cell>
          <cell r="K1742">
            <v>0.03</v>
          </cell>
          <cell r="L1742" t="str">
            <v>kg</v>
          </cell>
          <cell r="M1742">
            <v>41.47</v>
          </cell>
        </row>
        <row r="1743">
          <cell r="H1743">
            <v>216000083</v>
          </cell>
          <cell r="I1743" t="str">
            <v>Brownie Raffinée</v>
          </cell>
          <cell r="J1743">
            <v>4.5999999999999996</v>
          </cell>
          <cell r="K1743">
            <v>1</v>
          </cell>
          <cell r="L1743" t="str">
            <v>Un</v>
          </cell>
          <cell r="M1743">
            <v>4.5999999999999996</v>
          </cell>
        </row>
        <row r="1744">
          <cell r="H1744">
            <v>216000020</v>
          </cell>
          <cell r="I1744" t="str">
            <v>Morango</v>
          </cell>
          <cell r="J1744">
            <v>0.52500000000000002</v>
          </cell>
          <cell r="K1744">
            <v>1.4999999999999999E-2</v>
          </cell>
          <cell r="L1744" t="str">
            <v>Kg</v>
          </cell>
          <cell r="M1744">
            <v>35</v>
          </cell>
        </row>
        <row r="1745">
          <cell r="H1745">
            <v>210200031</v>
          </cell>
          <cell r="I1745" t="str">
            <v>Embalagem Cartonada Petit</v>
          </cell>
          <cell r="J1745">
            <v>0.54216500000000001</v>
          </cell>
          <cell r="K1745">
            <v>1</v>
          </cell>
          <cell r="L1745" t="str">
            <v>un</v>
          </cell>
          <cell r="M1745">
            <v>0.54216500000000001</v>
          </cell>
        </row>
        <row r="1746">
          <cell r="H1746">
            <v>210200011</v>
          </cell>
          <cell r="I1746" t="str">
            <v>Colher Grande</v>
          </cell>
          <cell r="J1746">
            <v>0.18408533000000002</v>
          </cell>
          <cell r="K1746">
            <v>1</v>
          </cell>
          <cell r="L1746" t="str">
            <v>Kg</v>
          </cell>
          <cell r="M1746">
            <v>0.18408533000000002</v>
          </cell>
        </row>
        <row r="1747">
          <cell r="H1747">
            <v>220100008</v>
          </cell>
          <cell r="I1747" t="str">
            <v>Guardanapo Embalado</v>
          </cell>
          <cell r="J1747">
            <v>7.1500000000000008E-2</v>
          </cell>
          <cell r="K1747">
            <v>1</v>
          </cell>
          <cell r="L1747" t="str">
            <v>un</v>
          </cell>
          <cell r="M1747">
            <v>7.1500000000000008E-2</v>
          </cell>
        </row>
        <row r="1748">
          <cell r="B1748">
            <v>100600032</v>
          </cell>
          <cell r="C1748">
            <v>1006</v>
          </cell>
          <cell r="D1748" t="str">
            <v>Top Mix - Monte o Seu</v>
          </cell>
          <cell r="E1748">
            <v>6.1672578198412698</v>
          </cell>
          <cell r="F1748">
            <v>22.184380646911041</v>
          </cell>
          <cell r="G1748">
            <v>24.823432698539285</v>
          </cell>
          <cell r="H1748">
            <v>210100001</v>
          </cell>
          <cell r="I1748" t="str">
            <v>Bebida Láctea Uht (Baunilha)</v>
          </cell>
          <cell r="J1748">
            <v>1.3859332200000001</v>
          </cell>
          <cell r="K1748">
            <v>0.127</v>
          </cell>
          <cell r="L1748" t="str">
            <v>Lt</v>
          </cell>
          <cell r="M1748">
            <v>10.91286</v>
          </cell>
        </row>
        <row r="1749">
          <cell r="H1749">
            <v>210200043</v>
          </cell>
          <cell r="I1749" t="str">
            <v>Copo 300 Ml Top Mix</v>
          </cell>
          <cell r="J1749">
            <v>0.65953126984126986</v>
          </cell>
          <cell r="K1749">
            <v>1</v>
          </cell>
          <cell r="L1749" t="str">
            <v>un</v>
          </cell>
          <cell r="M1749">
            <v>0.65953126984126986</v>
          </cell>
        </row>
        <row r="1750">
          <cell r="H1750">
            <v>220100008</v>
          </cell>
          <cell r="I1750" t="str">
            <v>Guardanapo Embalado</v>
          </cell>
          <cell r="J1750">
            <v>7.1500000000000008E-2</v>
          </cell>
          <cell r="K1750">
            <v>1</v>
          </cell>
          <cell r="L1750" t="str">
            <v>un</v>
          </cell>
          <cell r="M1750">
            <v>7.1500000000000008E-2</v>
          </cell>
        </row>
        <row r="1751">
          <cell r="H1751">
            <v>210200011</v>
          </cell>
          <cell r="I1751" t="str">
            <v>Colher Grande</v>
          </cell>
          <cell r="J1751">
            <v>0.18408533000000002</v>
          </cell>
          <cell r="K1751">
            <v>1</v>
          </cell>
          <cell r="L1751" t="str">
            <v>un</v>
          </cell>
          <cell r="M1751">
            <v>0.18408533000000002</v>
          </cell>
        </row>
        <row r="1752">
          <cell r="I1752" t="str">
            <v>Frutas</v>
          </cell>
          <cell r="J1752">
            <v>1.3293000000000001</v>
          </cell>
          <cell r="K1752">
            <v>2</v>
          </cell>
          <cell r="L1752" t="str">
            <v>un</v>
          </cell>
          <cell r="M1752">
            <v>0.66465000000000007</v>
          </cell>
        </row>
        <row r="1753">
          <cell r="I1753" t="str">
            <v>Cobertura</v>
          </cell>
          <cell r="J1753">
            <v>2.5369079999999999</v>
          </cell>
          <cell r="K1753">
            <v>1</v>
          </cell>
          <cell r="L1753" t="str">
            <v>un</v>
          </cell>
          <cell r="M1753">
            <v>2.5369079999999999</v>
          </cell>
        </row>
        <row r="1754">
          <cell r="D1754" t="str">
            <v>F. Banana Nanica</v>
          </cell>
          <cell r="E1754">
            <v>0.27930000000000005</v>
          </cell>
          <cell r="F1754">
            <v>1.0046762589928058</v>
          </cell>
          <cell r="G1754">
            <v>0.9633731927698379</v>
          </cell>
          <cell r="H1754">
            <v>216000018</v>
          </cell>
          <cell r="I1754" t="str">
            <v>Banana Nanica</v>
          </cell>
          <cell r="J1754">
            <v>0.27930000000000005</v>
          </cell>
          <cell r="K1754">
            <v>7.0000000000000007E-2</v>
          </cell>
          <cell r="L1754" t="str">
            <v>kg</v>
          </cell>
          <cell r="M1754">
            <v>3.99</v>
          </cell>
        </row>
        <row r="1755">
          <cell r="D1755" t="str">
            <v>F. Morango</v>
          </cell>
          <cell r="E1755">
            <v>1.05</v>
          </cell>
          <cell r="F1755">
            <v>3.7769784172661867</v>
          </cell>
          <cell r="G1755">
            <v>3.6217037322174352</v>
          </cell>
          <cell r="H1755">
            <v>216000020</v>
          </cell>
          <cell r="I1755" t="str">
            <v>Morango</v>
          </cell>
          <cell r="J1755">
            <v>1.05</v>
          </cell>
          <cell r="K1755">
            <v>0.03</v>
          </cell>
          <cell r="L1755" t="str">
            <v>kg</v>
          </cell>
          <cell r="M1755">
            <v>35</v>
          </cell>
        </row>
        <row r="1756">
          <cell r="D1756" t="str">
            <v>F. Uva Italiana</v>
          </cell>
          <cell r="E1756">
            <v>0.29970000000000002</v>
          </cell>
          <cell r="F1756">
            <v>1.0780575539568344</v>
          </cell>
          <cell r="G1756">
            <v>1.033737722424348</v>
          </cell>
          <cell r="H1756">
            <v>216000024</v>
          </cell>
          <cell r="I1756" t="str">
            <v>Uva Italiana</v>
          </cell>
          <cell r="J1756">
            <v>0.29970000000000002</v>
          </cell>
          <cell r="K1756">
            <v>0.03</v>
          </cell>
          <cell r="L1756" t="str">
            <v>kg</v>
          </cell>
          <cell r="M1756">
            <v>9.99</v>
          </cell>
        </row>
        <row r="1757">
          <cell r="B1757">
            <v>160000001</v>
          </cell>
          <cell r="C1757">
            <v>1006</v>
          </cell>
          <cell r="D1757" t="str">
            <v>Ad Nutella (Top Mix - Monte o Seu)</v>
          </cell>
          <cell r="E1757">
            <v>2.5369079999999999</v>
          </cell>
          <cell r="F1757">
            <v>9.1255683453237406</v>
          </cell>
          <cell r="G1757">
            <v>8.750408735135494</v>
          </cell>
          <cell r="H1757">
            <v>216000050</v>
          </cell>
          <cell r="I1757" t="str">
            <v>Nutella</v>
          </cell>
          <cell r="J1757">
            <v>2.5369079999999999</v>
          </cell>
          <cell r="K1757">
            <v>3.5999999999999997E-2</v>
          </cell>
          <cell r="L1757" t="str">
            <v>kg</v>
          </cell>
          <cell r="M1757">
            <v>70.469666666666669</v>
          </cell>
        </row>
        <row r="1758">
          <cell r="B1758">
            <v>160000002</v>
          </cell>
          <cell r="C1758">
            <v>1006</v>
          </cell>
          <cell r="D1758" t="str">
            <v>Ad Granola (Top Mix - Monte o Seu)</v>
          </cell>
          <cell r="E1758">
            <v>0.41437000000000007</v>
          </cell>
          <cell r="F1758">
            <v>1.490539568345324</v>
          </cell>
          <cell r="G1758">
            <v>1.4292622623989895</v>
          </cell>
          <cell r="H1758">
            <v>216000006</v>
          </cell>
          <cell r="I1758" t="str">
            <v>Granola</v>
          </cell>
          <cell r="J1758">
            <v>0.41437000000000007</v>
          </cell>
          <cell r="K1758">
            <v>0.01</v>
          </cell>
          <cell r="L1758" t="str">
            <v>kg</v>
          </cell>
          <cell r="M1758">
            <v>41.437000000000005</v>
          </cell>
        </row>
        <row r="1759">
          <cell r="B1759">
            <v>160000003</v>
          </cell>
          <cell r="C1759">
            <v>1006</v>
          </cell>
          <cell r="D1759" t="str">
            <v>Ad Leite Ninho (Top Mix - Monte o Seu)</v>
          </cell>
          <cell r="E1759">
            <v>0.61893333333333345</v>
          </cell>
          <cell r="F1759">
            <v>2.226378896882494</v>
          </cell>
          <cell r="G1759">
            <v>2.1348506317401061</v>
          </cell>
          <cell r="H1759">
            <v>216000017</v>
          </cell>
          <cell r="I1759" t="str">
            <v>Leite em Pó Ninho</v>
          </cell>
          <cell r="J1759">
            <v>0.61893333333333345</v>
          </cell>
          <cell r="K1759">
            <v>0.01</v>
          </cell>
          <cell r="L1759" t="str">
            <v>kg</v>
          </cell>
          <cell r="M1759">
            <v>61.893333333333338</v>
          </cell>
        </row>
        <row r="1760">
          <cell r="B1760">
            <v>160000004</v>
          </cell>
          <cell r="C1760">
            <v>1006</v>
          </cell>
          <cell r="D1760" t="str">
            <v>Ad Ovomaltine (Top Mix - Monte o Seu)</v>
          </cell>
          <cell r="E1760">
            <v>0.46487466666666666</v>
          </cell>
          <cell r="F1760">
            <v>1.6722110311750598</v>
          </cell>
          <cell r="G1760">
            <v>1.603465062171431</v>
          </cell>
          <cell r="H1760">
            <v>210900004</v>
          </cell>
          <cell r="I1760" t="str">
            <v>Ovomaltine</v>
          </cell>
          <cell r="J1760">
            <v>0.46487466666666666</v>
          </cell>
          <cell r="K1760">
            <v>1.2E-2</v>
          </cell>
          <cell r="L1760" t="str">
            <v>kg</v>
          </cell>
          <cell r="M1760">
            <v>38.739555555555555</v>
          </cell>
        </row>
        <row r="1761">
          <cell r="B1761">
            <v>160000005</v>
          </cell>
          <cell r="C1761">
            <v>1006</v>
          </cell>
          <cell r="D1761" t="str">
            <v>Ad Ganache (Top Mix - Monte o Seu)</v>
          </cell>
          <cell r="E1761">
            <v>1.2441</v>
          </cell>
          <cell r="F1761">
            <v>4.4751798561151075</v>
          </cell>
          <cell r="G1761">
            <v>4.2912015364302007</v>
          </cell>
          <cell r="H1761">
            <v>216100007</v>
          </cell>
          <cell r="I1761" t="str">
            <v>Ganache Chiquinho</v>
          </cell>
          <cell r="J1761">
            <v>1.2441</v>
          </cell>
          <cell r="K1761">
            <v>0.03</v>
          </cell>
          <cell r="L1761" t="str">
            <v>kg</v>
          </cell>
          <cell r="M1761">
            <v>41.47</v>
          </cell>
        </row>
        <row r="1762">
          <cell r="B1762">
            <v>160000006</v>
          </cell>
          <cell r="C1762">
            <v>1006</v>
          </cell>
          <cell r="D1762" t="str">
            <v>Ad Leite Moça (Top Mix - Monte o Seu)</v>
          </cell>
          <cell r="E1762">
            <v>0.7024683544303798</v>
          </cell>
          <cell r="F1762">
            <v>2.5268645842819417</v>
          </cell>
          <cell r="G1762">
            <v>2.4229831057191871</v>
          </cell>
          <cell r="H1762">
            <v>216000013</v>
          </cell>
          <cell r="I1762" t="str">
            <v>Leite Condensado</v>
          </cell>
          <cell r="J1762">
            <v>0.7024683544303798</v>
          </cell>
          <cell r="K1762">
            <v>2.5000000000000001E-2</v>
          </cell>
          <cell r="L1762" t="str">
            <v>kg</v>
          </cell>
          <cell r="M1762">
            <v>28.098734177215189</v>
          </cell>
        </row>
        <row r="1763">
          <cell r="B1763">
            <v>160000007</v>
          </cell>
          <cell r="C1763">
            <v>1006</v>
          </cell>
          <cell r="D1763" t="str">
            <v>Ad Farinha Láctea (Top Mix - Monte o Seu)</v>
          </cell>
          <cell r="E1763">
            <v>0.45166000000000006</v>
          </cell>
          <cell r="F1763">
            <v>1.6246762589928059</v>
          </cell>
          <cell r="G1763">
            <v>1.5578844835174543</v>
          </cell>
          <cell r="H1763">
            <v>216000065</v>
          </cell>
          <cell r="I1763" t="str">
            <v>Farinha Láctea</v>
          </cell>
          <cell r="J1763">
            <v>0.45166000000000006</v>
          </cell>
          <cell r="K1763">
            <v>1.2E-2</v>
          </cell>
          <cell r="L1763" t="str">
            <v>kg</v>
          </cell>
          <cell r="M1763">
            <v>37.638333333333335</v>
          </cell>
        </row>
        <row r="1764">
          <cell r="B1764">
            <v>101800005</v>
          </cell>
          <cell r="C1764">
            <v>1018</v>
          </cell>
          <cell r="D1764" t="str">
            <v>Sorvete no Copo - 100 ml</v>
          </cell>
          <cell r="E1764">
            <v>1.3497555499999998</v>
          </cell>
          <cell r="F1764">
            <v>4.8552357913669058</v>
          </cell>
          <cell r="G1764">
            <v>8.2067032217296703</v>
          </cell>
          <cell r="H1764">
            <v>210100007</v>
          </cell>
          <cell r="I1764" t="str">
            <v>Bebida Láctea Uht Sabores</v>
          </cell>
          <cell r="J1764">
            <v>0.84029021999999998</v>
          </cell>
          <cell r="K1764">
            <v>7.6999999999999999E-2</v>
          </cell>
          <cell r="L1764" t="str">
            <v>Kg</v>
          </cell>
          <cell r="M1764">
            <v>10.91286</v>
          </cell>
        </row>
        <row r="1765">
          <cell r="H1765">
            <v>220100008</v>
          </cell>
          <cell r="I1765" t="str">
            <v>Guardanapo Embalado</v>
          </cell>
          <cell r="J1765">
            <v>7.1500000000000008E-2</v>
          </cell>
          <cell r="K1765">
            <v>1</v>
          </cell>
          <cell r="L1765" t="str">
            <v>Un</v>
          </cell>
          <cell r="M1765">
            <v>7.1500000000000008E-2</v>
          </cell>
        </row>
        <row r="1766">
          <cell r="H1766">
            <v>210200011</v>
          </cell>
          <cell r="I1766" t="str">
            <v>Colher Grande</v>
          </cell>
          <cell r="J1766">
            <v>0.18408533000000002</v>
          </cell>
          <cell r="K1766">
            <v>1</v>
          </cell>
          <cell r="L1766" t="str">
            <v>Un</v>
          </cell>
          <cell r="M1766">
            <v>0.18408533000000002</v>
          </cell>
        </row>
        <row r="1767">
          <cell r="H1767">
            <v>210200050</v>
          </cell>
          <cell r="I1767" t="str">
            <v>Copo Café Espresso 110ml</v>
          </cell>
          <cell r="J1767">
            <v>0.25387999999999999</v>
          </cell>
          <cell r="K1767">
            <v>1</v>
          </cell>
          <cell r="L1767" t="str">
            <v>Un</v>
          </cell>
          <cell r="M1767">
            <v>0.25387999999999999</v>
          </cell>
        </row>
        <row r="1768">
          <cell r="B1768">
            <v>101800001</v>
          </cell>
          <cell r="C1768">
            <v>1018</v>
          </cell>
          <cell r="D1768" t="str">
            <v>Sorvete no Copo - 200 ml</v>
          </cell>
          <cell r="E1768">
            <v>1.8378888550000001</v>
          </cell>
          <cell r="F1768">
            <v>6.6111109892086333</v>
          </cell>
          <cell r="G1768">
            <v>9.8903929479564638</v>
          </cell>
          <cell r="H1768">
            <v>210100007</v>
          </cell>
          <cell r="I1768" t="str">
            <v>Bebida Láctea Uht Sabores</v>
          </cell>
          <cell r="J1768">
            <v>1.1458503</v>
          </cell>
          <cell r="K1768">
            <v>0.105</v>
          </cell>
          <cell r="L1768" t="str">
            <v>Kg</v>
          </cell>
          <cell r="M1768">
            <v>10.91286</v>
          </cell>
        </row>
        <row r="1769">
          <cell r="H1769">
            <v>220100008</v>
          </cell>
          <cell r="I1769" t="str">
            <v>Guardanapo Embalado</v>
          </cell>
          <cell r="J1769">
            <v>7.1500000000000008E-2</v>
          </cell>
          <cell r="K1769">
            <v>1</v>
          </cell>
          <cell r="L1769" t="str">
            <v>Un</v>
          </cell>
          <cell r="M1769">
            <v>7.1500000000000008E-2</v>
          </cell>
        </row>
        <row r="1770">
          <cell r="H1770">
            <v>210200011</v>
          </cell>
          <cell r="I1770" t="str">
            <v>Colher Grande</v>
          </cell>
          <cell r="J1770">
            <v>0.18408533000000002</v>
          </cell>
          <cell r="K1770">
            <v>1</v>
          </cell>
          <cell r="L1770" t="str">
            <v>Un</v>
          </cell>
          <cell r="M1770">
            <v>0.18408533000000002</v>
          </cell>
        </row>
        <row r="1771">
          <cell r="H1771">
            <v>210200051</v>
          </cell>
          <cell r="I1771" t="str">
            <v>Copo 220 ml Poli Papel</v>
          </cell>
          <cell r="J1771">
            <v>0.436453225</v>
          </cell>
          <cell r="K1771">
            <v>1</v>
          </cell>
          <cell r="L1771" t="str">
            <v>Un</v>
          </cell>
          <cell r="M1771">
            <v>0.436453225</v>
          </cell>
        </row>
        <row r="1772">
          <cell r="B1772">
            <v>101800002</v>
          </cell>
          <cell r="C1772">
            <v>1018</v>
          </cell>
          <cell r="D1772" t="str">
            <v>Sorvete no Copo - 300 ml</v>
          </cell>
          <cell r="E1772">
            <v>2.5681233899999993</v>
          </cell>
          <cell r="F1772">
            <v>9.2378539208633068</v>
          </cell>
          <cell r="G1772">
            <v>12.409148320150331</v>
          </cell>
          <cell r="H1772">
            <v>210100007</v>
          </cell>
          <cell r="I1772" t="str">
            <v>Bebida Láctea Uht Sabores</v>
          </cell>
          <cell r="J1772">
            <v>2.0297919599999998</v>
          </cell>
          <cell r="K1772">
            <v>0.186</v>
          </cell>
          <cell r="L1772" t="str">
            <v>Kg</v>
          </cell>
          <cell r="M1772">
            <v>10.91286</v>
          </cell>
        </row>
        <row r="1773">
          <cell r="H1773">
            <v>220100008</v>
          </cell>
          <cell r="I1773" t="str">
            <v>Guardanapo Embalado</v>
          </cell>
          <cell r="J1773">
            <v>7.1500000000000008E-2</v>
          </cell>
          <cell r="K1773">
            <v>1</v>
          </cell>
          <cell r="L1773" t="str">
            <v>Un</v>
          </cell>
          <cell r="M1773">
            <v>7.1500000000000008E-2</v>
          </cell>
        </row>
        <row r="1774">
          <cell r="H1774">
            <v>210200011</v>
          </cell>
          <cell r="I1774" t="str">
            <v>Colher Grande</v>
          </cell>
          <cell r="J1774">
            <v>0.18408533000000002</v>
          </cell>
          <cell r="K1774">
            <v>1</v>
          </cell>
          <cell r="L1774" t="str">
            <v>Un</v>
          </cell>
          <cell r="M1774">
            <v>0.18408533000000002</v>
          </cell>
        </row>
        <row r="1775">
          <cell r="H1775">
            <v>210200030</v>
          </cell>
          <cell r="I1775" t="str">
            <v>Copo 330 ml Milk Shake</v>
          </cell>
          <cell r="J1775">
            <v>0.2827461</v>
          </cell>
          <cell r="K1775">
            <v>1</v>
          </cell>
          <cell r="L1775" t="str">
            <v>Un</v>
          </cell>
          <cell r="M1775">
            <v>0.2827461</v>
          </cell>
        </row>
        <row r="1776">
          <cell r="B1776">
            <v>101800003</v>
          </cell>
          <cell r="C1776">
            <v>1018</v>
          </cell>
          <cell r="D1776" t="str">
            <v>Sorvete no Copo - 400 ml</v>
          </cell>
          <cell r="E1776">
            <v>3.2106404399999997</v>
          </cell>
          <cell r="F1776">
            <v>11.549066330935251</v>
          </cell>
          <cell r="G1776">
            <v>14.625344889672558</v>
          </cell>
          <cell r="H1776">
            <v>210100007</v>
          </cell>
          <cell r="I1776" t="str">
            <v>Bebida Láctea Uht Sabores</v>
          </cell>
          <cell r="J1776">
            <v>2.5754349599999999</v>
          </cell>
          <cell r="K1776">
            <v>0.23599999999999999</v>
          </cell>
          <cell r="L1776" t="str">
            <v>Kg</v>
          </cell>
          <cell r="M1776">
            <v>10.91286</v>
          </cell>
        </row>
        <row r="1777">
          <cell r="H1777">
            <v>220100008</v>
          </cell>
          <cell r="I1777" t="str">
            <v>Guardanapo Embalado</v>
          </cell>
          <cell r="J1777">
            <v>7.1500000000000008E-2</v>
          </cell>
          <cell r="K1777">
            <v>1</v>
          </cell>
          <cell r="L1777" t="str">
            <v>Un</v>
          </cell>
          <cell r="M1777">
            <v>7.1500000000000008E-2</v>
          </cell>
        </row>
        <row r="1778">
          <cell r="H1778">
            <v>210200011</v>
          </cell>
          <cell r="I1778" t="str">
            <v>Colher Grande</v>
          </cell>
          <cell r="J1778">
            <v>0.18408533000000002</v>
          </cell>
          <cell r="K1778">
            <v>1</v>
          </cell>
          <cell r="L1778" t="str">
            <v>Un</v>
          </cell>
          <cell r="M1778">
            <v>0.18408533000000002</v>
          </cell>
        </row>
        <row r="1779">
          <cell r="H1779">
            <v>210200017</v>
          </cell>
          <cell r="I1779" t="str">
            <v>Copo 440 ml Milk Shake</v>
          </cell>
          <cell r="J1779">
            <v>0.37962015000000005</v>
          </cell>
          <cell r="K1779">
            <v>1</v>
          </cell>
          <cell r="L1779" t="str">
            <v>Un</v>
          </cell>
          <cell r="M1779">
            <v>0.37962015000000005</v>
          </cell>
        </row>
        <row r="1780">
          <cell r="B1780">
            <v>101800004</v>
          </cell>
          <cell r="C1780">
            <v>1018</v>
          </cell>
          <cell r="D1780" t="str">
            <v>Sorvete no Copo - 300 ml</v>
          </cell>
          <cell r="E1780">
            <v>3.8607729299999995</v>
          </cell>
          <cell r="F1780">
            <v>13.887672410071939</v>
          </cell>
          <cell r="G1780">
            <v>16.867808952023807</v>
          </cell>
          <cell r="H1780">
            <v>210100007</v>
          </cell>
          <cell r="I1780" t="str">
            <v>Bebida Láctea Uht Sabores</v>
          </cell>
          <cell r="J1780">
            <v>3.1647293999999997</v>
          </cell>
          <cell r="K1780">
            <v>0.28999999999999998</v>
          </cell>
          <cell r="L1780" t="str">
            <v>Kg</v>
          </cell>
          <cell r="M1780">
            <v>10.91286</v>
          </cell>
        </row>
        <row r="1781">
          <cell r="H1781">
            <v>220100008</v>
          </cell>
          <cell r="I1781" t="str">
            <v>Guardanapo Embalado</v>
          </cell>
          <cell r="J1781">
            <v>7.1500000000000008E-2</v>
          </cell>
          <cell r="K1781">
            <v>1</v>
          </cell>
          <cell r="L1781" t="str">
            <v>Un</v>
          </cell>
          <cell r="M1781">
            <v>7.1500000000000008E-2</v>
          </cell>
        </row>
        <row r="1782">
          <cell r="H1782">
            <v>210200011</v>
          </cell>
          <cell r="I1782" t="str">
            <v>Colher Grande</v>
          </cell>
          <cell r="J1782">
            <v>0.18408533000000002</v>
          </cell>
          <cell r="K1782">
            <v>1</v>
          </cell>
          <cell r="L1782" t="str">
            <v>Un</v>
          </cell>
          <cell r="M1782">
            <v>0.18408533000000002</v>
          </cell>
        </row>
        <row r="1783">
          <cell r="H1783">
            <v>210200027</v>
          </cell>
          <cell r="I1783" t="str">
            <v>Copo 550 Ml  Milk Shake</v>
          </cell>
          <cell r="J1783">
            <v>0.44045820000000002</v>
          </cell>
          <cell r="K1783">
            <v>1</v>
          </cell>
          <cell r="L1783" t="str">
            <v>Un</v>
          </cell>
          <cell r="M1783">
            <v>0.44045820000000002</v>
          </cell>
        </row>
        <row r="1784">
          <cell r="B1784">
            <v>102200001</v>
          </cell>
          <cell r="C1784">
            <v>1022</v>
          </cell>
          <cell r="D1784" t="str">
            <v>Bubble Waffle no Cone c/ Chantilly</v>
          </cell>
          <cell r="E1784">
            <v>3.8434723187035473</v>
          </cell>
          <cell r="F1784">
            <v>13.825439995336501</v>
          </cell>
          <cell r="H1784">
            <v>216000004</v>
          </cell>
          <cell r="I1784" t="str">
            <v>Chantilly</v>
          </cell>
          <cell r="J1784">
            <v>0.55339349999999998</v>
          </cell>
          <cell r="K1784">
            <v>1.9800000000000002E-2</v>
          </cell>
          <cell r="L1784" t="str">
            <v>lt</v>
          </cell>
          <cell r="M1784">
            <v>27.949166666666663</v>
          </cell>
        </row>
        <row r="1785">
          <cell r="H1785">
            <v>201000028</v>
          </cell>
          <cell r="I1785" t="str">
            <v>Gás Oxido Nitroso/1Kg</v>
          </cell>
          <cell r="J1785">
            <v>1.8700000000000001E-2</v>
          </cell>
          <cell r="K1785">
            <v>2.0000000000000001E-4</v>
          </cell>
          <cell r="L1785" t="str">
            <v>kg</v>
          </cell>
          <cell r="M1785">
            <v>93.5</v>
          </cell>
        </row>
        <row r="1786">
          <cell r="H1786">
            <v>210900012</v>
          </cell>
          <cell r="I1786" t="str">
            <v>Suflair Nestle</v>
          </cell>
          <cell r="J1786">
            <v>5.8346191406250004E-2</v>
          </cell>
          <cell r="K1786">
            <v>5.0000000000000001E-4</v>
          </cell>
          <cell r="L1786" t="str">
            <v>kg</v>
          </cell>
          <cell r="M1786">
            <v>116.6923828125</v>
          </cell>
        </row>
        <row r="1787">
          <cell r="H1787">
            <v>216000070</v>
          </cell>
          <cell r="I1787" t="str">
            <v>Bubble Waffle</v>
          </cell>
          <cell r="J1787">
            <v>2.3100472972972974</v>
          </cell>
          <cell r="K1787">
            <v>6.5000000000000002E-2</v>
          </cell>
          <cell r="L1787" t="str">
            <v>Kg</v>
          </cell>
          <cell r="M1787">
            <v>35.539189189189187</v>
          </cell>
        </row>
        <row r="1788">
          <cell r="H1788">
            <v>220100011</v>
          </cell>
          <cell r="I1788" t="str">
            <v>Cone Bubble Waffle</v>
          </cell>
          <cell r="J1788">
            <v>0.64739999999999998</v>
          </cell>
          <cell r="K1788">
            <v>1</v>
          </cell>
          <cell r="L1788" t="str">
            <v>un</v>
          </cell>
          <cell r="M1788">
            <v>0.64739999999999998</v>
          </cell>
        </row>
        <row r="1789">
          <cell r="H1789">
            <v>210200011</v>
          </cell>
          <cell r="I1789" t="str">
            <v>Colher Grande</v>
          </cell>
          <cell r="J1789">
            <v>0.18408533000000002</v>
          </cell>
          <cell r="K1789">
            <v>1</v>
          </cell>
          <cell r="L1789" t="str">
            <v>Kg</v>
          </cell>
          <cell r="M1789">
            <v>0.18408533000000002</v>
          </cell>
        </row>
        <row r="1790">
          <cell r="H1790">
            <v>220100008</v>
          </cell>
          <cell r="I1790" t="str">
            <v>Guardanapo Embalado</v>
          </cell>
          <cell r="J1790">
            <v>7.1500000000000008E-2</v>
          </cell>
          <cell r="K1790">
            <v>1</v>
          </cell>
          <cell r="L1790" t="str">
            <v>un</v>
          </cell>
          <cell r="M1790">
            <v>7.1500000000000008E-2</v>
          </cell>
        </row>
        <row r="1791">
          <cell r="B1791">
            <v>102200002</v>
          </cell>
          <cell r="C1791">
            <v>1022</v>
          </cell>
          <cell r="D1791" t="str">
            <v xml:space="preserve">Bubble Waffle no Cone c/Sorvetes </v>
          </cell>
          <cell r="E1791">
            <v>3.9987585472972969</v>
          </cell>
          <cell r="F1791">
            <v>14.384023551429124</v>
          </cell>
          <cell r="H1791">
            <v>210100001</v>
          </cell>
          <cell r="I1791" t="str">
            <v>Bebida Láctea Uht (Baunilha)</v>
          </cell>
          <cell r="J1791">
            <v>0.78572591999999997</v>
          </cell>
          <cell r="K1791">
            <v>7.1999999999999995E-2</v>
          </cell>
          <cell r="L1791" t="str">
            <v>lt</v>
          </cell>
          <cell r="M1791">
            <v>10.91286</v>
          </cell>
        </row>
        <row r="1792">
          <cell r="H1792">
            <v>216000070</v>
          </cell>
          <cell r="I1792" t="str">
            <v>Bubble Waffle</v>
          </cell>
          <cell r="J1792">
            <v>2.3100472972972974</v>
          </cell>
          <cell r="K1792">
            <v>6.5000000000000002E-2</v>
          </cell>
          <cell r="L1792" t="str">
            <v>Kg</v>
          </cell>
          <cell r="M1792">
            <v>35.539189189189187</v>
          </cell>
        </row>
        <row r="1793">
          <cell r="H1793">
            <v>220100011</v>
          </cell>
          <cell r="I1793" t="str">
            <v>Cone Bubble Waffle</v>
          </cell>
          <cell r="J1793">
            <v>0.64739999999999998</v>
          </cell>
          <cell r="K1793">
            <v>1</v>
          </cell>
          <cell r="L1793" t="str">
            <v>un</v>
          </cell>
          <cell r="M1793">
            <v>0.64739999999999998</v>
          </cell>
        </row>
        <row r="1794">
          <cell r="H1794">
            <v>220100008</v>
          </cell>
          <cell r="I1794" t="str">
            <v>Guardanapo Embalado</v>
          </cell>
          <cell r="J1794">
            <v>7.1500000000000008E-2</v>
          </cell>
          <cell r="K1794">
            <v>1</v>
          </cell>
          <cell r="L1794" t="str">
            <v>un</v>
          </cell>
          <cell r="M1794">
            <v>7.1500000000000008E-2</v>
          </cell>
        </row>
        <row r="1795">
          <cell r="H1795">
            <v>210200011</v>
          </cell>
          <cell r="I1795" t="str">
            <v>Colher Grande</v>
          </cell>
          <cell r="J1795">
            <v>0.18408533000000002</v>
          </cell>
          <cell r="K1795">
            <v>1</v>
          </cell>
          <cell r="L1795" t="str">
            <v>Un</v>
          </cell>
          <cell r="M1795">
            <v>0.18408533000000002</v>
          </cell>
        </row>
        <row r="1796">
          <cell r="B1796">
            <v>102200098</v>
          </cell>
          <cell r="C1796">
            <v>1022</v>
          </cell>
          <cell r="D1796" t="str">
            <v>Bubble Waffle no Cone c/ Chantilly G</v>
          </cell>
          <cell r="E1796">
            <v>5.3843896408108112</v>
          </cell>
          <cell r="F1796">
            <v>19.368308060470543</v>
          </cell>
          <cell r="H1796">
            <v>216000004</v>
          </cell>
          <cell r="I1796" t="str">
            <v>Chantilly</v>
          </cell>
          <cell r="J1796">
            <v>0.55339349999999998</v>
          </cell>
          <cell r="K1796">
            <v>1.9800000000000002E-2</v>
          </cell>
          <cell r="L1796" t="str">
            <v>lt</v>
          </cell>
          <cell r="M1796">
            <v>27.949166666666663</v>
          </cell>
        </row>
        <row r="1797">
          <cell r="H1797">
            <v>201000028</v>
          </cell>
          <cell r="I1797" t="str">
            <v>Gás Oxido Nitroso/1Kg</v>
          </cell>
          <cell r="J1797">
            <v>1.8700000000000001E-2</v>
          </cell>
          <cell r="K1797">
            <v>2.0000000000000001E-4</v>
          </cell>
          <cell r="L1797" t="str">
            <v>kg</v>
          </cell>
          <cell r="M1797">
            <v>93.5</v>
          </cell>
        </row>
        <row r="1798">
          <cell r="H1798">
            <v>216000070</v>
          </cell>
          <cell r="I1798" t="str">
            <v>Bubble Waffle</v>
          </cell>
          <cell r="J1798">
            <v>3.9093108108108106</v>
          </cell>
          <cell r="K1798">
            <v>0.11</v>
          </cell>
          <cell r="L1798" t="str">
            <v>Kg</v>
          </cell>
          <cell r="M1798">
            <v>35.539189189189187</v>
          </cell>
        </row>
        <row r="1799">
          <cell r="H1799">
            <v>220100011</v>
          </cell>
          <cell r="I1799" t="str">
            <v>Cone Bubble Waffle</v>
          </cell>
          <cell r="J1799">
            <v>0.64739999999999998</v>
          </cell>
          <cell r="K1799">
            <v>1</v>
          </cell>
          <cell r="L1799" t="str">
            <v>un</v>
          </cell>
          <cell r="M1799">
            <v>0.64739999999999998</v>
          </cell>
        </row>
        <row r="1800">
          <cell r="H1800">
            <v>210200011</v>
          </cell>
          <cell r="I1800" t="str">
            <v>Colher Grande</v>
          </cell>
          <cell r="J1800">
            <v>0.18408533000000002</v>
          </cell>
          <cell r="K1800">
            <v>1</v>
          </cell>
          <cell r="L1800" t="str">
            <v>Kg</v>
          </cell>
          <cell r="M1800">
            <v>0.18408533000000002</v>
          </cell>
        </row>
        <row r="1801">
          <cell r="H1801">
            <v>220100008</v>
          </cell>
          <cell r="I1801" t="str">
            <v>Guardanapo Embalado</v>
          </cell>
          <cell r="J1801">
            <v>7.1500000000000008E-2</v>
          </cell>
          <cell r="K1801">
            <v>1</v>
          </cell>
          <cell r="L1801" t="str">
            <v>un</v>
          </cell>
          <cell r="M1801">
            <v>7.1500000000000008E-2</v>
          </cell>
        </row>
        <row r="1802">
          <cell r="B1802">
            <v>102200099</v>
          </cell>
          <cell r="C1802">
            <v>1022</v>
          </cell>
          <cell r="D1802" t="str">
            <v>Bubble Waffle no Cone c/Sorvetes G</v>
          </cell>
          <cell r="E1802">
            <v>6.0563621808108117</v>
          </cell>
          <cell r="F1802">
            <v>21.785475470542487</v>
          </cell>
          <cell r="H1802">
            <v>210100001</v>
          </cell>
          <cell r="I1802" t="str">
            <v>Bebida Láctea Uht (Baunilha)</v>
          </cell>
          <cell r="J1802">
            <v>1.2440660400000001</v>
          </cell>
          <cell r="K1802">
            <v>0.114</v>
          </cell>
          <cell r="L1802" t="str">
            <v>lt</v>
          </cell>
          <cell r="M1802">
            <v>10.91286</v>
          </cell>
        </row>
        <row r="1803">
          <cell r="H1803">
            <v>216000070</v>
          </cell>
          <cell r="I1803" t="str">
            <v>Bubble Waffle</v>
          </cell>
          <cell r="J1803">
            <v>3.9093108108108106</v>
          </cell>
          <cell r="K1803">
            <v>0.11</v>
          </cell>
          <cell r="L1803" t="str">
            <v>Kg</v>
          </cell>
          <cell r="M1803">
            <v>35.539189189189187</v>
          </cell>
        </row>
        <row r="1804">
          <cell r="H1804">
            <v>220100011</v>
          </cell>
          <cell r="I1804" t="str">
            <v>Cone Bubble Waffle</v>
          </cell>
          <cell r="J1804">
            <v>0.64739999999999998</v>
          </cell>
          <cell r="K1804">
            <v>1</v>
          </cell>
          <cell r="L1804" t="str">
            <v>un</v>
          </cell>
          <cell r="M1804">
            <v>0.64739999999999998</v>
          </cell>
        </row>
        <row r="1805">
          <cell r="H1805">
            <v>220100008</v>
          </cell>
          <cell r="I1805" t="str">
            <v>Guardanapo Embalado</v>
          </cell>
          <cell r="J1805">
            <v>7.1500000000000008E-2</v>
          </cell>
          <cell r="K1805">
            <v>1</v>
          </cell>
          <cell r="L1805" t="str">
            <v>un</v>
          </cell>
          <cell r="M1805">
            <v>7.1500000000000008E-2</v>
          </cell>
        </row>
        <row r="1806">
          <cell r="H1806">
            <v>210200011</v>
          </cell>
          <cell r="I1806" t="str">
            <v>Colher Grande</v>
          </cell>
          <cell r="J1806">
            <v>0.18408533000000002</v>
          </cell>
          <cell r="K1806">
            <v>1</v>
          </cell>
          <cell r="L1806" t="str">
            <v>Un</v>
          </cell>
          <cell r="M1806">
            <v>0.18408533000000002</v>
          </cell>
        </row>
        <row r="1807">
          <cell r="B1807">
            <v>120000001</v>
          </cell>
          <cell r="C1807">
            <v>1200</v>
          </cell>
          <cell r="D1807" t="str">
            <v>B.W Amendoim Granulado</v>
          </cell>
          <cell r="E1807">
            <v>0.35497000000000001</v>
          </cell>
          <cell r="F1807">
            <v>1.2768705035971222</v>
          </cell>
          <cell r="H1807">
            <v>216000002</v>
          </cell>
          <cell r="I1807" t="str">
            <v>Amendoim triturado</v>
          </cell>
          <cell r="J1807">
            <v>0.35497000000000001</v>
          </cell>
          <cell r="K1807">
            <v>1.4E-2</v>
          </cell>
          <cell r="L1807" t="str">
            <v>kg</v>
          </cell>
          <cell r="M1807">
            <v>25.355</v>
          </cell>
        </row>
        <row r="1808">
          <cell r="B1808">
            <v>120000002</v>
          </cell>
          <cell r="C1808">
            <v>1200</v>
          </cell>
          <cell r="D1808" t="str">
            <v>B.W Banana</v>
          </cell>
          <cell r="E1808">
            <v>0.12768000000000002</v>
          </cell>
          <cell r="F1808">
            <v>0.45928057553956836</v>
          </cell>
          <cell r="H1808">
            <v>216000018</v>
          </cell>
          <cell r="I1808" t="str">
            <v>Banana Nanica</v>
          </cell>
          <cell r="J1808">
            <v>0.12768000000000002</v>
          </cell>
          <cell r="K1808">
            <v>3.2000000000000001E-2</v>
          </cell>
          <cell r="L1808" t="str">
            <v>kg</v>
          </cell>
          <cell r="M1808">
            <v>3.99</v>
          </cell>
        </row>
        <row r="1809">
          <cell r="B1809">
            <v>120000003</v>
          </cell>
          <cell r="C1809">
            <v>1200</v>
          </cell>
          <cell r="D1809" t="str">
            <v>B.W Morango</v>
          </cell>
          <cell r="E1809">
            <v>1.575</v>
          </cell>
          <cell r="F1809">
            <v>5.6654676258992795</v>
          </cell>
          <cell r="H1809">
            <v>216000020</v>
          </cell>
          <cell r="I1809" t="str">
            <v>Morango</v>
          </cell>
          <cell r="J1809">
            <v>1.575</v>
          </cell>
          <cell r="K1809">
            <v>4.4999999999999998E-2</v>
          </cell>
          <cell r="L1809" t="str">
            <v>kg</v>
          </cell>
          <cell r="M1809">
            <v>35</v>
          </cell>
        </row>
        <row r="1810">
          <cell r="B1810">
            <v>120000004</v>
          </cell>
          <cell r="C1810">
            <v>1200</v>
          </cell>
          <cell r="D1810" t="str">
            <v>B.W Mini Disqueti</v>
          </cell>
          <cell r="E1810">
            <v>1.6478000000000002</v>
          </cell>
          <cell r="F1810">
            <v>5.9273381294964027</v>
          </cell>
          <cell r="H1810">
            <v>210900002</v>
          </cell>
          <cell r="I1810" t="str">
            <v>Mini Disqueti - Dori</v>
          </cell>
          <cell r="J1810">
            <v>1.6478000000000002</v>
          </cell>
          <cell r="K1810">
            <v>2.5000000000000001E-2</v>
          </cell>
          <cell r="L1810" t="str">
            <v>kg</v>
          </cell>
          <cell r="M1810">
            <v>65.912000000000006</v>
          </cell>
        </row>
        <row r="1811">
          <cell r="B1811">
            <v>120000005</v>
          </cell>
          <cell r="C1811">
            <v>1200</v>
          </cell>
          <cell r="D1811" t="str">
            <v>B.W Granulado</v>
          </cell>
          <cell r="E1811">
            <v>0.33980198019801983</v>
          </cell>
          <cell r="F1811">
            <v>1.2223092812878409</v>
          </cell>
          <cell r="H1811">
            <v>210900009</v>
          </cell>
          <cell r="I1811" t="str">
            <v>Chocolate Granulado</v>
          </cell>
          <cell r="J1811">
            <v>0.33980198019801983</v>
          </cell>
          <cell r="K1811">
            <v>1.6E-2</v>
          </cell>
          <cell r="L1811" t="str">
            <v>kg</v>
          </cell>
          <cell r="M1811">
            <v>21.237623762376238</v>
          </cell>
        </row>
        <row r="1812">
          <cell r="B1812">
            <v>120000006</v>
          </cell>
          <cell r="C1812">
            <v>1200</v>
          </cell>
          <cell r="D1812" t="str">
            <v>B.W Ovomaltine</v>
          </cell>
          <cell r="E1812">
            <v>0.46487466666666666</v>
          </cell>
          <cell r="F1812">
            <v>1.6722110311750598</v>
          </cell>
          <cell r="H1812">
            <v>210900004</v>
          </cell>
          <cell r="I1812" t="str">
            <v>Ovomaltine</v>
          </cell>
          <cell r="J1812">
            <v>0.46487466666666666</v>
          </cell>
          <cell r="K1812">
            <v>1.2E-2</v>
          </cell>
          <cell r="L1812" t="str">
            <v>kg</v>
          </cell>
          <cell r="M1812">
            <v>38.739555555555555</v>
          </cell>
        </row>
        <row r="1813">
          <cell r="B1813">
            <v>120000007</v>
          </cell>
          <cell r="C1813">
            <v>1200</v>
          </cell>
          <cell r="D1813" t="str">
            <v>B.W Leite Condesado Moça</v>
          </cell>
          <cell r="E1813">
            <v>0.7024683544303798</v>
          </cell>
          <cell r="F1813">
            <v>2.5268645842819417</v>
          </cell>
          <cell r="H1813">
            <v>216000013</v>
          </cell>
          <cell r="I1813" t="str">
            <v>Leite Condensado</v>
          </cell>
          <cell r="J1813">
            <v>0.7024683544303798</v>
          </cell>
          <cell r="K1813">
            <v>2.5000000000000001E-2</v>
          </cell>
          <cell r="L1813" t="str">
            <v>kg</v>
          </cell>
          <cell r="M1813">
            <v>28.098734177215189</v>
          </cell>
        </row>
        <row r="1814">
          <cell r="B1814">
            <v>120000008</v>
          </cell>
          <cell r="C1814">
            <v>1200</v>
          </cell>
          <cell r="D1814" t="str">
            <v>B.W Ganache Chiquinho</v>
          </cell>
          <cell r="E1814">
            <v>1.2441</v>
          </cell>
          <cell r="F1814">
            <v>4.4751798561151075</v>
          </cell>
          <cell r="H1814">
            <v>216100007</v>
          </cell>
          <cell r="I1814" t="str">
            <v>Ganache Chiquinho</v>
          </cell>
          <cell r="J1814">
            <v>1.2441</v>
          </cell>
          <cell r="K1814">
            <v>0.03</v>
          </cell>
          <cell r="L1814" t="str">
            <v>kg</v>
          </cell>
          <cell r="M1814">
            <v>41.47</v>
          </cell>
        </row>
        <row r="1815">
          <cell r="B1815">
            <v>120000009</v>
          </cell>
          <cell r="C1815">
            <v>1200</v>
          </cell>
          <cell r="D1815" t="str">
            <v>B.W Chocolate Trufado</v>
          </cell>
          <cell r="E1815">
            <v>1.337142857142857</v>
          </cell>
          <cell r="F1815">
            <v>4.8098663926002043</v>
          </cell>
          <cell r="H1815">
            <v>210900018</v>
          </cell>
          <cell r="I1815" t="str">
            <v>Trufada Chiquinho</v>
          </cell>
          <cell r="J1815">
            <v>1.337142857142857</v>
          </cell>
          <cell r="K1815">
            <v>0.03</v>
          </cell>
          <cell r="L1815" t="str">
            <v>kg</v>
          </cell>
          <cell r="M1815">
            <v>44.571428571428569</v>
          </cell>
        </row>
        <row r="1816">
          <cell r="B1816">
            <v>120000010</v>
          </cell>
          <cell r="C1816">
            <v>1200</v>
          </cell>
          <cell r="D1816" t="str">
            <v>B.W Doce de Leite</v>
          </cell>
          <cell r="E1816">
            <v>0.65429375000000001</v>
          </cell>
          <cell r="F1816">
            <v>2.3535746402877695</v>
          </cell>
          <cell r="H1816">
            <v>216000015</v>
          </cell>
          <cell r="I1816" t="str">
            <v>Doce de Leite</v>
          </cell>
          <cell r="J1816">
            <v>0.65429375000000001</v>
          </cell>
          <cell r="K1816">
            <v>0.03</v>
          </cell>
          <cell r="L1816" t="str">
            <v>kg</v>
          </cell>
          <cell r="M1816">
            <v>21.809791666666669</v>
          </cell>
        </row>
        <row r="1817">
          <cell r="B1817">
            <v>120000011</v>
          </cell>
          <cell r="C1817">
            <v>1200</v>
          </cell>
          <cell r="D1817" t="str">
            <v>B.W Marshamallow Fini</v>
          </cell>
          <cell r="E1817">
            <v>0.5781599999999999</v>
          </cell>
          <cell r="F1817">
            <v>2.0797122302158266</v>
          </cell>
          <cell r="H1817">
            <v>216000035</v>
          </cell>
          <cell r="I1817" t="str">
            <v>Marsh Torcao FINI</v>
          </cell>
          <cell r="J1817">
            <v>0.5781599999999999</v>
          </cell>
          <cell r="K1817">
            <v>1.4999999999999999E-2</v>
          </cell>
          <cell r="L1817" t="str">
            <v>kg</v>
          </cell>
          <cell r="M1817">
            <v>38.543999999999997</v>
          </cell>
        </row>
        <row r="1818">
          <cell r="B1818">
            <v>120000012</v>
          </cell>
          <cell r="C1818">
            <v>1200</v>
          </cell>
          <cell r="D1818" t="str">
            <v>B.W Polpa Morango</v>
          </cell>
          <cell r="E1818">
            <v>0.79165560975609772</v>
          </cell>
          <cell r="F1818">
            <v>2.8476820494823656</v>
          </cell>
          <cell r="H1818">
            <v>210400017</v>
          </cell>
          <cell r="I1818" t="str">
            <v>Polpa de morango</v>
          </cell>
          <cell r="J1818">
            <v>0.79165560975609772</v>
          </cell>
          <cell r="K1818">
            <v>2.8000000000000001E-2</v>
          </cell>
          <cell r="L1818" t="str">
            <v>kg</v>
          </cell>
          <cell r="M1818">
            <v>28.273414634146345</v>
          </cell>
        </row>
        <row r="1819">
          <cell r="B1819">
            <v>120000013</v>
          </cell>
          <cell r="C1819">
            <v>1200</v>
          </cell>
          <cell r="D1819" t="str">
            <v>B.W Polpa Frutas Vermelhas</v>
          </cell>
          <cell r="E1819">
            <v>0.97674390243902443</v>
          </cell>
          <cell r="F1819">
            <v>3.5134672749605191</v>
          </cell>
          <cell r="H1819">
            <v>210400020</v>
          </cell>
          <cell r="I1819" t="str">
            <v>Polpa de Frutas Vermelhas</v>
          </cell>
          <cell r="J1819">
            <v>0.97674390243902443</v>
          </cell>
          <cell r="K1819">
            <v>2.5000000000000001E-2</v>
          </cell>
          <cell r="L1819" t="str">
            <v>kg</v>
          </cell>
          <cell r="M1819">
            <v>39.069756097560976</v>
          </cell>
        </row>
        <row r="1820">
          <cell r="B1820">
            <v>120000014</v>
          </cell>
          <cell r="C1820">
            <v>1200</v>
          </cell>
          <cell r="D1820" t="str">
            <v>B.W Creme Crocante</v>
          </cell>
          <cell r="E1820">
            <v>2.0875799999999995</v>
          </cell>
          <cell r="F1820">
            <v>7.5092805755395657</v>
          </cell>
          <cell r="H1820">
            <v>216000039</v>
          </cell>
          <cell r="I1820" t="str">
            <v>Creme Crocante</v>
          </cell>
          <cell r="J1820">
            <v>2.0875799999999995</v>
          </cell>
          <cell r="K1820">
            <v>3.5999999999999997E-2</v>
          </cell>
          <cell r="L1820" t="str">
            <v>kg</v>
          </cell>
          <cell r="M1820">
            <v>57.98833333333333</v>
          </cell>
        </row>
        <row r="1821">
          <cell r="B1821">
            <v>120000015</v>
          </cell>
          <cell r="C1821">
            <v>1200</v>
          </cell>
          <cell r="D1821" t="str">
            <v>B.W Farofa Especial</v>
          </cell>
          <cell r="E1821">
            <v>0.47743465346534664</v>
          </cell>
          <cell r="F1821">
            <v>1.717390839803405</v>
          </cell>
          <cell r="H1821">
            <v>216000027</v>
          </cell>
          <cell r="I1821" t="str">
            <v>Farofa Crocante</v>
          </cell>
          <cell r="J1821">
            <v>0.47743465346534664</v>
          </cell>
          <cell r="K1821">
            <v>1.4E-2</v>
          </cell>
          <cell r="L1821" t="str">
            <v>kg</v>
          </cell>
          <cell r="M1821">
            <v>34.102475247524758</v>
          </cell>
        </row>
        <row r="1822">
          <cell r="B1822">
            <v>120000016</v>
          </cell>
          <cell r="C1822">
            <v>1200</v>
          </cell>
          <cell r="D1822" t="str">
            <v>B.W Nutella</v>
          </cell>
          <cell r="E1822">
            <v>2.5369079999999999</v>
          </cell>
          <cell r="F1822">
            <v>9.1255683453237406</v>
          </cell>
          <cell r="H1822">
            <v>216000050</v>
          </cell>
          <cell r="I1822" t="str">
            <v>Nutella</v>
          </cell>
          <cell r="J1822">
            <v>2.5369079999999999</v>
          </cell>
          <cell r="K1822">
            <v>3.5999999999999997E-2</v>
          </cell>
          <cell r="L1822" t="str">
            <v>kg</v>
          </cell>
          <cell r="M1822">
            <v>70.469666666666669</v>
          </cell>
        </row>
        <row r="1823">
          <cell r="B1823">
            <v>120000017</v>
          </cell>
          <cell r="C1823">
            <v>1200</v>
          </cell>
          <cell r="D1823" t="str">
            <v>B.W Canudinho Biju Wafer</v>
          </cell>
          <cell r="E1823">
            <v>0.11329500000000001</v>
          </cell>
          <cell r="F1823">
            <v>0.4075359712230216</v>
          </cell>
          <cell r="H1823">
            <v>216000009</v>
          </cell>
          <cell r="I1823" t="str">
            <v>Canudinho Biju Wafer</v>
          </cell>
          <cell r="J1823">
            <v>0.11329500000000001</v>
          </cell>
          <cell r="K1823">
            <v>3.0000000000000001E-3</v>
          </cell>
          <cell r="L1823" t="str">
            <v>kg</v>
          </cell>
          <cell r="M1823">
            <v>37.765000000000001</v>
          </cell>
        </row>
        <row r="1824">
          <cell r="B1824">
            <v>120000018</v>
          </cell>
          <cell r="C1824">
            <v>1200</v>
          </cell>
          <cell r="D1824" t="str">
            <v>B.W Kit Kat</v>
          </cell>
          <cell r="E1824">
            <v>1.7103219126506024</v>
          </cell>
          <cell r="F1824">
            <v>6.152237095865476</v>
          </cell>
          <cell r="H1824">
            <v>210900011</v>
          </cell>
          <cell r="I1824" t="str">
            <v>Kit Kat</v>
          </cell>
          <cell r="J1824">
            <v>1.7103219126506024</v>
          </cell>
          <cell r="K1824">
            <v>2.07E-2</v>
          </cell>
          <cell r="L1824" t="str">
            <v>kg</v>
          </cell>
          <cell r="M1824">
            <v>82.624246987951807</v>
          </cell>
        </row>
        <row r="1825">
          <cell r="B1825">
            <v>120000019</v>
          </cell>
          <cell r="C1825">
            <v>1200</v>
          </cell>
          <cell r="D1825" t="str">
            <v>B.W Suflair</v>
          </cell>
          <cell r="E1825">
            <v>3.500771484375</v>
          </cell>
          <cell r="F1825">
            <v>12.592703181205035</v>
          </cell>
          <cell r="H1825">
            <v>210900012</v>
          </cell>
          <cell r="I1825" t="str">
            <v>Suflair Nestle</v>
          </cell>
          <cell r="J1825">
            <v>3.500771484375</v>
          </cell>
          <cell r="K1825">
            <v>0.03</v>
          </cell>
          <cell r="L1825" t="str">
            <v>kg</v>
          </cell>
          <cell r="M1825">
            <v>116.6923828125</v>
          </cell>
        </row>
        <row r="1826">
          <cell r="B1826">
            <v>103400001</v>
          </cell>
          <cell r="C1826">
            <v>1034</v>
          </cell>
          <cell r="D1826" t="str">
            <v>Mini Shake Mix® Pistache Dubai 200 ml</v>
          </cell>
          <cell r="E1826">
            <v>6.0419208450000008</v>
          </cell>
          <cell r="F1826">
            <v>21.733528219424461</v>
          </cell>
          <cell r="H1826">
            <v>210100007</v>
          </cell>
          <cell r="I1826" t="str">
            <v>Bebida Láctea UHT Sabores</v>
          </cell>
          <cell r="J1826">
            <v>1.5168875400000001</v>
          </cell>
          <cell r="K1826">
            <v>0.13900000000000001</v>
          </cell>
          <cell r="L1826" t="str">
            <v>Kg</v>
          </cell>
          <cell r="M1826">
            <v>10.91286</v>
          </cell>
        </row>
        <row r="1827">
          <cell r="H1827">
            <v>216000086</v>
          </cell>
          <cell r="I1827" t="str">
            <v>Mesclado Dubai</v>
          </cell>
          <cell r="J1827">
            <v>3.4320000000000004</v>
          </cell>
          <cell r="K1827">
            <v>3.3000000000000002E-2</v>
          </cell>
          <cell r="L1827" t="str">
            <v>Kg</v>
          </cell>
          <cell r="M1827">
            <v>104</v>
          </cell>
        </row>
        <row r="1828">
          <cell r="H1828">
            <v>210900005</v>
          </cell>
          <cell r="I1828" t="str">
            <v>Stracciatella Meio Amarga</v>
          </cell>
          <cell r="J1828">
            <v>0.40099474999999996</v>
          </cell>
          <cell r="K1828">
            <v>1.2999999999999999E-2</v>
          </cell>
          <cell r="L1828" t="str">
            <v>kg</v>
          </cell>
          <cell r="M1828">
            <v>30.845749999999999</v>
          </cell>
        </row>
        <row r="1829">
          <cell r="H1829">
            <v>220100008</v>
          </cell>
          <cell r="I1829" t="str">
            <v>Guardanapo Embalado</v>
          </cell>
          <cell r="J1829">
            <v>7.1500000000000008E-2</v>
          </cell>
          <cell r="K1829">
            <v>1</v>
          </cell>
          <cell r="L1829" t="str">
            <v>Un</v>
          </cell>
          <cell r="M1829">
            <v>7.1500000000000008E-2</v>
          </cell>
        </row>
        <row r="1830">
          <cell r="H1830">
            <v>210200011</v>
          </cell>
          <cell r="I1830" t="str">
            <v>Colher Grande</v>
          </cell>
          <cell r="J1830">
            <v>0.18408533000000002</v>
          </cell>
          <cell r="K1830">
            <v>1</v>
          </cell>
          <cell r="L1830" t="str">
            <v>Un</v>
          </cell>
          <cell r="M1830">
            <v>0.18408533000000002</v>
          </cell>
        </row>
        <row r="1831">
          <cell r="H1831">
            <v>210200051</v>
          </cell>
          <cell r="I1831" t="str">
            <v>Copo 220 ml Poli Papel</v>
          </cell>
          <cell r="J1831">
            <v>0.436453225</v>
          </cell>
          <cell r="K1831">
            <v>1</v>
          </cell>
          <cell r="L1831" t="str">
            <v>Un</v>
          </cell>
          <cell r="M1831">
            <v>0.436453225</v>
          </cell>
        </row>
        <row r="1832">
          <cell r="B1832">
            <v>103400002</v>
          </cell>
          <cell r="C1832">
            <v>1034</v>
          </cell>
          <cell r="D1832" t="str">
            <v>Milk Shake Pistache Dubai 300 ml</v>
          </cell>
          <cell r="E1832">
            <v>8.6516462000000001</v>
          </cell>
          <cell r="F1832">
            <v>31.121029496402876</v>
          </cell>
          <cell r="H1832">
            <v>210100007</v>
          </cell>
          <cell r="I1832" t="str">
            <v>Bebida Láctea UHT Sabores</v>
          </cell>
          <cell r="J1832">
            <v>1.93157622</v>
          </cell>
          <cell r="K1832">
            <v>0.17699999999999999</v>
          </cell>
          <cell r="L1832" t="str">
            <v>Kg</v>
          </cell>
          <cell r="M1832">
            <v>10.91286</v>
          </cell>
        </row>
        <row r="1833">
          <cell r="H1833">
            <v>216000086</v>
          </cell>
          <cell r="I1833" t="str">
            <v>Mesclado Dubai</v>
          </cell>
          <cell r="J1833">
            <v>4.68</v>
          </cell>
          <cell r="K1833">
            <v>4.4999999999999998E-2</v>
          </cell>
          <cell r="L1833" t="str">
            <v>Kg</v>
          </cell>
          <cell r="M1833">
            <v>104</v>
          </cell>
        </row>
        <row r="1834">
          <cell r="H1834">
            <v>210900005</v>
          </cell>
          <cell r="I1834" t="str">
            <v>Stracciatella Meio Amarga</v>
          </cell>
          <cell r="J1834">
            <v>1.0796012500000001</v>
          </cell>
          <cell r="K1834">
            <v>3.5000000000000003E-2</v>
          </cell>
          <cell r="L1834" t="str">
            <v>kg</v>
          </cell>
          <cell r="M1834">
            <v>30.845749999999999</v>
          </cell>
        </row>
        <row r="1835">
          <cell r="H1835">
            <v>216000016</v>
          </cell>
          <cell r="I1835" t="str">
            <v>Leite Integral</v>
          </cell>
          <cell r="J1835">
            <v>0.12</v>
          </cell>
          <cell r="K1835">
            <v>0.03</v>
          </cell>
          <cell r="L1835" t="str">
            <v>lt</v>
          </cell>
          <cell r="M1835">
            <v>4</v>
          </cell>
        </row>
        <row r="1836">
          <cell r="H1836">
            <v>210200021</v>
          </cell>
          <cell r="I1836" t="str">
            <v>Canudo para Milk Shake 10 mm</v>
          </cell>
          <cell r="J1836">
            <v>0.12690729999999997</v>
          </cell>
          <cell r="K1836">
            <v>1</v>
          </cell>
          <cell r="L1836" t="str">
            <v>un</v>
          </cell>
          <cell r="M1836">
            <v>0.12690729999999997</v>
          </cell>
        </row>
        <row r="1837">
          <cell r="H1837">
            <v>220100008</v>
          </cell>
          <cell r="I1837" t="str">
            <v>Guardanapo Embalado</v>
          </cell>
          <cell r="J1837">
            <v>7.1500000000000008E-2</v>
          </cell>
          <cell r="K1837">
            <v>1</v>
          </cell>
          <cell r="L1837" t="str">
            <v>Un</v>
          </cell>
          <cell r="M1837">
            <v>7.1500000000000008E-2</v>
          </cell>
        </row>
        <row r="1838">
          <cell r="H1838">
            <v>210200049</v>
          </cell>
          <cell r="I1838" t="str">
            <v>Tampa 330 ml Milk Shake</v>
          </cell>
          <cell r="J1838">
            <v>0.17523</v>
          </cell>
          <cell r="K1838">
            <v>1</v>
          </cell>
          <cell r="L1838" t="str">
            <v>Un</v>
          </cell>
          <cell r="M1838">
            <v>0.17523</v>
          </cell>
        </row>
        <row r="1839">
          <cell r="H1839">
            <v>210200011</v>
          </cell>
          <cell r="I1839" t="str">
            <v>Colher Grande</v>
          </cell>
          <cell r="J1839">
            <v>0.18408533000000002</v>
          </cell>
          <cell r="K1839">
            <v>1</v>
          </cell>
          <cell r="L1839" t="str">
            <v>Un</v>
          </cell>
          <cell r="M1839">
            <v>0.18408533000000002</v>
          </cell>
        </row>
        <row r="1840">
          <cell r="H1840">
            <v>210200030</v>
          </cell>
          <cell r="I1840" t="str">
            <v>Copo 330 ml Milk Shake</v>
          </cell>
          <cell r="J1840">
            <v>0.2827461</v>
          </cell>
          <cell r="K1840">
            <v>1</v>
          </cell>
          <cell r="L1840" t="str">
            <v>Un</v>
          </cell>
          <cell r="M1840">
            <v>0.2827461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>
        <row r="1">
          <cell r="H1" t="str">
            <v>COD_GRUPO</v>
          </cell>
          <cell r="I1" t="str">
            <v>GRUPO</v>
          </cell>
        </row>
        <row r="2">
          <cell r="H2">
            <v>1001</v>
          </cell>
          <cell r="I2" t="str">
            <v>Casquinha</v>
          </cell>
        </row>
        <row r="3">
          <cell r="H3">
            <v>1001</v>
          </cell>
          <cell r="I3" t="str">
            <v>Casquinha</v>
          </cell>
        </row>
        <row r="4">
          <cell r="H4">
            <v>1001</v>
          </cell>
          <cell r="I4" t="str">
            <v>Casquinha</v>
          </cell>
        </row>
        <row r="5">
          <cell r="H5">
            <v>1001</v>
          </cell>
          <cell r="I5" t="str">
            <v>Casquinha</v>
          </cell>
        </row>
        <row r="6">
          <cell r="H6">
            <v>1001</v>
          </cell>
          <cell r="I6" t="str">
            <v>Casquinha</v>
          </cell>
        </row>
        <row r="7">
          <cell r="H7">
            <v>1001</v>
          </cell>
          <cell r="I7" t="str">
            <v>Casquinha</v>
          </cell>
        </row>
        <row r="8">
          <cell r="H8">
            <v>1001</v>
          </cell>
          <cell r="I8" t="str">
            <v>Casquinha</v>
          </cell>
        </row>
        <row r="9">
          <cell r="H9">
            <v>1001</v>
          </cell>
          <cell r="I9" t="str">
            <v>Casquinha</v>
          </cell>
        </row>
        <row r="10">
          <cell r="H10">
            <v>1001</v>
          </cell>
          <cell r="I10" t="str">
            <v>Casquinha</v>
          </cell>
        </row>
        <row r="11">
          <cell r="H11">
            <v>1001</v>
          </cell>
          <cell r="I11" t="str">
            <v>Casquinha</v>
          </cell>
        </row>
        <row r="12">
          <cell r="H12">
            <v>1001</v>
          </cell>
          <cell r="I12" t="str">
            <v>Casquinha</v>
          </cell>
        </row>
        <row r="13">
          <cell r="H13">
            <v>1001</v>
          </cell>
          <cell r="I13" t="str">
            <v>Casquinha</v>
          </cell>
        </row>
        <row r="14">
          <cell r="H14">
            <v>1001</v>
          </cell>
          <cell r="I14" t="str">
            <v>Casquinha</v>
          </cell>
        </row>
        <row r="15">
          <cell r="H15">
            <v>1001</v>
          </cell>
          <cell r="I15" t="str">
            <v>Casquinha</v>
          </cell>
        </row>
        <row r="16">
          <cell r="H16">
            <v>1001</v>
          </cell>
          <cell r="I16" t="str">
            <v>Casquinha</v>
          </cell>
        </row>
        <row r="17">
          <cell r="H17">
            <v>1001</v>
          </cell>
          <cell r="I17" t="str">
            <v>Casquinha</v>
          </cell>
        </row>
        <row r="18">
          <cell r="H18">
            <v>1001</v>
          </cell>
          <cell r="I18" t="str">
            <v>Casquinha</v>
          </cell>
        </row>
        <row r="19">
          <cell r="H19">
            <v>1001</v>
          </cell>
          <cell r="I19" t="str">
            <v>Casquinha</v>
          </cell>
        </row>
        <row r="20">
          <cell r="H20">
            <v>1201</v>
          </cell>
          <cell r="I20" t="str">
            <v>Linha Ovomaltine</v>
          </cell>
        </row>
        <row r="21">
          <cell r="H21">
            <v>1001</v>
          </cell>
          <cell r="I21" t="str">
            <v>Casquinha</v>
          </cell>
        </row>
        <row r="22">
          <cell r="H22">
            <v>1001</v>
          </cell>
          <cell r="I22" t="str">
            <v>Casquinha</v>
          </cell>
        </row>
        <row r="23">
          <cell r="H23">
            <v>1001</v>
          </cell>
          <cell r="I23" t="str">
            <v>Casquinha</v>
          </cell>
        </row>
        <row r="24">
          <cell r="H24">
            <v>1001</v>
          </cell>
          <cell r="I24" t="str">
            <v>Casquinha</v>
          </cell>
        </row>
        <row r="25">
          <cell r="H25">
            <v>1001</v>
          </cell>
          <cell r="I25" t="str">
            <v>Casquinha</v>
          </cell>
        </row>
        <row r="26">
          <cell r="H26">
            <v>1001</v>
          </cell>
          <cell r="I26" t="str">
            <v>Casquinha</v>
          </cell>
        </row>
        <row r="27">
          <cell r="H27">
            <v>1002</v>
          </cell>
          <cell r="I27" t="str">
            <v>Cascao</v>
          </cell>
        </row>
        <row r="28">
          <cell r="H28">
            <v>1002</v>
          </cell>
          <cell r="I28" t="str">
            <v>Cascao</v>
          </cell>
        </row>
        <row r="29">
          <cell r="H29">
            <v>1002</v>
          </cell>
          <cell r="I29" t="str">
            <v>Cascao</v>
          </cell>
        </row>
        <row r="30">
          <cell r="H30">
            <v>1002</v>
          </cell>
          <cell r="I30" t="str">
            <v>Cascao</v>
          </cell>
        </row>
        <row r="31">
          <cell r="H31">
            <v>1002</v>
          </cell>
          <cell r="I31" t="str">
            <v>Cascao</v>
          </cell>
        </row>
        <row r="32">
          <cell r="H32">
            <v>1002</v>
          </cell>
          <cell r="I32" t="str">
            <v>Cascao</v>
          </cell>
        </row>
        <row r="33">
          <cell r="H33">
            <v>1002</v>
          </cell>
          <cell r="I33" t="str">
            <v>Cascao</v>
          </cell>
        </row>
        <row r="34">
          <cell r="H34">
            <v>1002</v>
          </cell>
          <cell r="I34" t="str">
            <v>Cascao</v>
          </cell>
        </row>
        <row r="35">
          <cell r="H35">
            <v>1002</v>
          </cell>
          <cell r="I35" t="str">
            <v>Cascao</v>
          </cell>
        </row>
        <row r="36">
          <cell r="H36">
            <v>1002</v>
          </cell>
          <cell r="I36" t="str">
            <v>Cascao</v>
          </cell>
        </row>
        <row r="37">
          <cell r="H37">
            <v>1002</v>
          </cell>
          <cell r="I37" t="str">
            <v>Cascao</v>
          </cell>
        </row>
        <row r="38">
          <cell r="H38">
            <v>1002</v>
          </cell>
          <cell r="I38" t="str">
            <v>Cascao</v>
          </cell>
        </row>
        <row r="39">
          <cell r="H39">
            <v>1002</v>
          </cell>
          <cell r="I39" t="str">
            <v>Cascao</v>
          </cell>
        </row>
        <row r="40">
          <cell r="H40">
            <v>1002</v>
          </cell>
          <cell r="I40" t="str">
            <v>Cascao</v>
          </cell>
        </row>
        <row r="41">
          <cell r="H41">
            <v>1002</v>
          </cell>
          <cell r="I41" t="str">
            <v>Cascao</v>
          </cell>
        </row>
        <row r="42">
          <cell r="H42">
            <v>1002</v>
          </cell>
          <cell r="I42" t="str">
            <v>Cascao</v>
          </cell>
        </row>
        <row r="43">
          <cell r="H43">
            <v>1002</v>
          </cell>
          <cell r="I43" t="str">
            <v>Cascao</v>
          </cell>
        </row>
        <row r="44">
          <cell r="H44">
            <v>1002</v>
          </cell>
          <cell r="I44" t="str">
            <v>Cascao</v>
          </cell>
        </row>
        <row r="45">
          <cell r="H45">
            <v>1002</v>
          </cell>
          <cell r="I45" t="str">
            <v>Cascao</v>
          </cell>
        </row>
        <row r="46">
          <cell r="H46">
            <v>1002</v>
          </cell>
          <cell r="I46" t="str">
            <v>Cascao</v>
          </cell>
        </row>
        <row r="47">
          <cell r="H47">
            <v>1002</v>
          </cell>
          <cell r="I47" t="str">
            <v>Cascao</v>
          </cell>
        </row>
        <row r="48">
          <cell r="H48">
            <v>1002</v>
          </cell>
          <cell r="I48" t="str">
            <v>Cascao</v>
          </cell>
        </row>
        <row r="49">
          <cell r="H49">
            <v>1002</v>
          </cell>
          <cell r="I49" t="str">
            <v>Cascao</v>
          </cell>
        </row>
        <row r="50">
          <cell r="H50">
            <v>1002</v>
          </cell>
          <cell r="I50" t="str">
            <v>Cascao</v>
          </cell>
        </row>
        <row r="51">
          <cell r="H51">
            <v>1201</v>
          </cell>
          <cell r="I51" t="str">
            <v>Linha Ovomaltine</v>
          </cell>
        </row>
        <row r="52">
          <cell r="H52">
            <v>1002</v>
          </cell>
          <cell r="I52" t="str">
            <v>Cascao</v>
          </cell>
        </row>
        <row r="53">
          <cell r="H53">
            <v>1002</v>
          </cell>
          <cell r="I53" t="str">
            <v>Cascao</v>
          </cell>
        </row>
        <row r="54">
          <cell r="H54">
            <v>1002</v>
          </cell>
          <cell r="I54" t="str">
            <v>Cascao</v>
          </cell>
        </row>
        <row r="55">
          <cell r="H55">
            <v>1002</v>
          </cell>
          <cell r="I55" t="str">
            <v>Cascao</v>
          </cell>
        </row>
        <row r="56">
          <cell r="H56">
            <v>1002</v>
          </cell>
          <cell r="I56" t="str">
            <v>Cascao</v>
          </cell>
        </row>
        <row r="57">
          <cell r="H57">
            <v>1002</v>
          </cell>
          <cell r="I57" t="str">
            <v>Cascao</v>
          </cell>
        </row>
        <row r="58">
          <cell r="H58">
            <v>1003</v>
          </cell>
          <cell r="I58" t="str">
            <v>MS Trad. 300ml</v>
          </cell>
        </row>
        <row r="59">
          <cell r="H59">
            <v>1003</v>
          </cell>
          <cell r="I59" t="str">
            <v>MS Trad. 300ml</v>
          </cell>
        </row>
        <row r="60">
          <cell r="H60">
            <v>1003</v>
          </cell>
          <cell r="I60" t="str">
            <v>MS Trad. 300ml</v>
          </cell>
        </row>
        <row r="61">
          <cell r="H61">
            <v>1003</v>
          </cell>
          <cell r="I61" t="str">
            <v>MS Trad. 300ml</v>
          </cell>
        </row>
        <row r="62">
          <cell r="H62">
            <v>1003</v>
          </cell>
          <cell r="I62" t="str">
            <v>MS Trad. 300ml</v>
          </cell>
        </row>
        <row r="63">
          <cell r="H63">
            <v>1023</v>
          </cell>
          <cell r="I63" t="str">
            <v>MS Fabulosos 300ml</v>
          </cell>
        </row>
        <row r="64">
          <cell r="H64">
            <v>1003</v>
          </cell>
          <cell r="I64" t="str">
            <v>MS Trad. 300ml</v>
          </cell>
        </row>
        <row r="65">
          <cell r="H65">
            <v>1023</v>
          </cell>
          <cell r="I65" t="str">
            <v>MS Fabulosos 300ml</v>
          </cell>
        </row>
        <row r="66">
          <cell r="H66">
            <v>1023</v>
          </cell>
          <cell r="I66" t="str">
            <v>MS Fabulosos 300ml</v>
          </cell>
        </row>
        <row r="67">
          <cell r="H67">
            <v>1003</v>
          </cell>
          <cell r="I67" t="str">
            <v>MS Trad. 300ml</v>
          </cell>
        </row>
        <row r="68">
          <cell r="H68">
            <v>1023</v>
          </cell>
          <cell r="I68" t="str">
            <v>MS Fabulosos 300ml</v>
          </cell>
        </row>
        <row r="69">
          <cell r="H69">
            <v>1003</v>
          </cell>
          <cell r="I69" t="str">
            <v>MS Trad. 300ml</v>
          </cell>
        </row>
        <row r="70">
          <cell r="H70">
            <v>1003</v>
          </cell>
          <cell r="I70" t="str">
            <v>MS Trad. 300ml</v>
          </cell>
        </row>
        <row r="71">
          <cell r="H71">
            <v>1023</v>
          </cell>
          <cell r="I71" t="str">
            <v>MS Fabulosos 300ml</v>
          </cell>
        </row>
        <row r="72">
          <cell r="H72">
            <v>1023</v>
          </cell>
          <cell r="I72" t="str">
            <v>MS Fabulosos 300ml</v>
          </cell>
        </row>
        <row r="73">
          <cell r="H73">
            <v>1023</v>
          </cell>
          <cell r="I73" t="str">
            <v>MS Fabulosos 300ml</v>
          </cell>
        </row>
        <row r="74">
          <cell r="H74">
            <v>1003</v>
          </cell>
          <cell r="I74" t="str">
            <v>MS Trad. 300ml</v>
          </cell>
        </row>
        <row r="75">
          <cell r="H75">
            <v>1003</v>
          </cell>
          <cell r="I75" t="str">
            <v>MS Trad. 300ml</v>
          </cell>
        </row>
        <row r="76">
          <cell r="H76">
            <v>1023</v>
          </cell>
          <cell r="I76" t="str">
            <v>MS Fabulosos 300ml</v>
          </cell>
        </row>
        <row r="77">
          <cell r="H77">
            <v>1003</v>
          </cell>
          <cell r="I77" t="str">
            <v>MS Trad. 300ml</v>
          </cell>
        </row>
        <row r="78">
          <cell r="H78">
            <v>1023</v>
          </cell>
          <cell r="I78" t="str">
            <v>MS Fabulosos 300ml</v>
          </cell>
        </row>
        <row r="79">
          <cell r="H79">
            <v>1023</v>
          </cell>
          <cell r="I79" t="str">
            <v>MS Fabulosos 300ml</v>
          </cell>
        </row>
        <row r="80">
          <cell r="H80">
            <v>1004</v>
          </cell>
          <cell r="I80" t="str">
            <v>MS Trad. 400ml</v>
          </cell>
        </row>
        <row r="81">
          <cell r="H81">
            <v>1004</v>
          </cell>
          <cell r="I81" t="str">
            <v>MS Trad. 400ml</v>
          </cell>
        </row>
        <row r="82">
          <cell r="H82">
            <v>1004</v>
          </cell>
          <cell r="I82" t="str">
            <v>MS Trad. 400ml</v>
          </cell>
        </row>
        <row r="83">
          <cell r="H83">
            <v>1004</v>
          </cell>
          <cell r="I83" t="str">
            <v>MS Trad. 400ml</v>
          </cell>
        </row>
        <row r="84">
          <cell r="H84">
            <v>1004</v>
          </cell>
          <cell r="I84" t="str">
            <v>MS Trad. 400ml</v>
          </cell>
        </row>
        <row r="85">
          <cell r="H85">
            <v>1024</v>
          </cell>
          <cell r="I85" t="str">
            <v>MS Fabulosos 400ml</v>
          </cell>
        </row>
        <row r="86">
          <cell r="H86">
            <v>1004</v>
          </cell>
          <cell r="I86" t="str">
            <v>MS Trad. 400ml</v>
          </cell>
        </row>
        <row r="87">
          <cell r="H87">
            <v>1024</v>
          </cell>
          <cell r="I87" t="str">
            <v>MS Fabulosos 400ml</v>
          </cell>
        </row>
        <row r="88">
          <cell r="H88">
            <v>1024</v>
          </cell>
          <cell r="I88" t="str">
            <v>MS Fabulosos 400ml</v>
          </cell>
        </row>
        <row r="89">
          <cell r="H89">
            <v>1004</v>
          </cell>
          <cell r="I89" t="str">
            <v>MS Trad. 400ml</v>
          </cell>
        </row>
        <row r="90">
          <cell r="H90">
            <v>1024</v>
          </cell>
          <cell r="I90" t="str">
            <v>MS Fabulosos 400ml</v>
          </cell>
        </row>
        <row r="91">
          <cell r="H91">
            <v>1004</v>
          </cell>
          <cell r="I91" t="str">
            <v>MS Trad. 400ml</v>
          </cell>
        </row>
        <row r="92">
          <cell r="H92">
            <v>1004</v>
          </cell>
          <cell r="I92" t="str">
            <v>MS Trad. 400ml</v>
          </cell>
        </row>
        <row r="93">
          <cell r="H93">
            <v>1024</v>
          </cell>
          <cell r="I93" t="str">
            <v>MS Fabulosos 400ml</v>
          </cell>
        </row>
        <row r="94">
          <cell r="H94">
            <v>1024</v>
          </cell>
          <cell r="I94" t="str">
            <v>MS Fabulosos 400ml</v>
          </cell>
        </row>
        <row r="95">
          <cell r="H95">
            <v>1024</v>
          </cell>
          <cell r="I95" t="str">
            <v>MS Fabulosos 400ml</v>
          </cell>
        </row>
        <row r="96">
          <cell r="H96">
            <v>1004</v>
          </cell>
          <cell r="I96" t="str">
            <v>MS Trad. 400ml</v>
          </cell>
        </row>
        <row r="97">
          <cell r="H97">
            <v>1004</v>
          </cell>
          <cell r="I97" t="str">
            <v>MS Trad. 400ml</v>
          </cell>
        </row>
        <row r="98">
          <cell r="H98">
            <v>1024</v>
          </cell>
          <cell r="I98" t="str">
            <v>MS Fabulosos 400ml</v>
          </cell>
        </row>
        <row r="99">
          <cell r="H99">
            <v>1004</v>
          </cell>
          <cell r="I99" t="str">
            <v>MS Trad. 400ml</v>
          </cell>
        </row>
        <row r="100">
          <cell r="H100">
            <v>1024</v>
          </cell>
          <cell r="I100" t="str">
            <v>MS Fabulosos 400ml</v>
          </cell>
        </row>
        <row r="101">
          <cell r="H101">
            <v>1005</v>
          </cell>
          <cell r="I101" t="str">
            <v>MS Trad. 500ml</v>
          </cell>
        </row>
        <row r="102">
          <cell r="H102">
            <v>1005</v>
          </cell>
          <cell r="I102" t="str">
            <v>MS Trad. 500ml</v>
          </cell>
        </row>
        <row r="103">
          <cell r="H103">
            <v>1005</v>
          </cell>
          <cell r="I103" t="str">
            <v>MS Trad. 500ml</v>
          </cell>
        </row>
        <row r="104">
          <cell r="H104">
            <v>1005</v>
          </cell>
          <cell r="I104" t="str">
            <v>MS Trad. 500ml</v>
          </cell>
        </row>
        <row r="105">
          <cell r="H105">
            <v>1005</v>
          </cell>
          <cell r="I105" t="str">
            <v>MS Trad. 500ml</v>
          </cell>
        </row>
        <row r="106">
          <cell r="H106">
            <v>1025</v>
          </cell>
          <cell r="I106" t="str">
            <v>MS Fabulosos 500ml</v>
          </cell>
        </row>
        <row r="107">
          <cell r="H107">
            <v>1005</v>
          </cell>
          <cell r="I107" t="str">
            <v>MS Trad. 500ml</v>
          </cell>
        </row>
        <row r="108">
          <cell r="H108">
            <v>1025</v>
          </cell>
          <cell r="I108" t="str">
            <v>MS Fabulosos 500ml</v>
          </cell>
        </row>
        <row r="109">
          <cell r="H109">
            <v>1025</v>
          </cell>
          <cell r="I109" t="str">
            <v>MS Fabulosos 500ml</v>
          </cell>
        </row>
        <row r="110">
          <cell r="H110">
            <v>1005</v>
          </cell>
          <cell r="I110" t="str">
            <v>MS Trad. 500ml</v>
          </cell>
        </row>
        <row r="111">
          <cell r="H111">
            <v>1025</v>
          </cell>
          <cell r="I111" t="str">
            <v>MS Fabulosos 500ml</v>
          </cell>
        </row>
        <row r="112">
          <cell r="H112">
            <v>1005</v>
          </cell>
          <cell r="I112" t="str">
            <v>MS Trad. 500ml</v>
          </cell>
        </row>
        <row r="113">
          <cell r="H113">
            <v>1005</v>
          </cell>
          <cell r="I113" t="str">
            <v>MS Trad. 500ml</v>
          </cell>
        </row>
        <row r="114">
          <cell r="H114">
            <v>1025</v>
          </cell>
          <cell r="I114" t="str">
            <v>MS Fabulosos 500ml</v>
          </cell>
        </row>
        <row r="115">
          <cell r="H115">
            <v>1025</v>
          </cell>
          <cell r="I115" t="str">
            <v>MS Fabulosos 500ml</v>
          </cell>
        </row>
        <row r="116">
          <cell r="H116">
            <v>1025</v>
          </cell>
          <cell r="I116" t="str">
            <v>MS Fabulosos 500ml</v>
          </cell>
        </row>
        <row r="117">
          <cell r="H117">
            <v>1005</v>
          </cell>
          <cell r="I117" t="str">
            <v>MS Trad. 500ml</v>
          </cell>
        </row>
        <row r="118">
          <cell r="H118">
            <v>1005</v>
          </cell>
          <cell r="I118" t="str">
            <v>MS Trad. 500ml</v>
          </cell>
        </row>
        <row r="119">
          <cell r="H119">
            <v>1025</v>
          </cell>
          <cell r="I119" t="str">
            <v>MS Fabulosos 500ml</v>
          </cell>
        </row>
        <row r="120">
          <cell r="H120">
            <v>1005</v>
          </cell>
          <cell r="I120" t="str">
            <v>MS Trad. 500ml</v>
          </cell>
        </row>
        <row r="121">
          <cell r="H121">
            <v>1025</v>
          </cell>
          <cell r="I121" t="str">
            <v>MS Fabulosos 500ml</v>
          </cell>
        </row>
        <row r="122">
          <cell r="H122">
            <v>1006</v>
          </cell>
          <cell r="I122" t="str">
            <v>Top Mix</v>
          </cell>
        </row>
        <row r="123">
          <cell r="H123">
            <v>1006</v>
          </cell>
          <cell r="I123" t="str">
            <v>Top Mix</v>
          </cell>
        </row>
        <row r="124">
          <cell r="H124">
            <v>1006</v>
          </cell>
          <cell r="I124" t="str">
            <v>Top Mix</v>
          </cell>
        </row>
        <row r="125">
          <cell r="H125">
            <v>1006</v>
          </cell>
          <cell r="I125" t="str">
            <v>Top Mix</v>
          </cell>
        </row>
        <row r="126">
          <cell r="H126">
            <v>1006</v>
          </cell>
          <cell r="I126" t="str">
            <v>Top Mix</v>
          </cell>
        </row>
        <row r="127">
          <cell r="H127">
            <v>1006</v>
          </cell>
          <cell r="I127" t="str">
            <v>Top Mix</v>
          </cell>
        </row>
        <row r="128">
          <cell r="H128">
            <v>1006</v>
          </cell>
          <cell r="I128" t="str">
            <v>Top Mix</v>
          </cell>
        </row>
        <row r="129">
          <cell r="H129">
            <v>1006</v>
          </cell>
          <cell r="I129" t="str">
            <v>Top Mix</v>
          </cell>
        </row>
        <row r="130">
          <cell r="H130">
            <v>1006</v>
          </cell>
          <cell r="I130" t="str">
            <v>Top Mix</v>
          </cell>
        </row>
        <row r="131">
          <cell r="H131">
            <v>1006</v>
          </cell>
          <cell r="I131" t="str">
            <v>Top Mix</v>
          </cell>
        </row>
        <row r="132">
          <cell r="H132">
            <v>1006</v>
          </cell>
          <cell r="I132" t="str">
            <v>Top Mix</v>
          </cell>
        </row>
        <row r="133">
          <cell r="H133">
            <v>1006</v>
          </cell>
          <cell r="I133" t="str">
            <v>Top Mix</v>
          </cell>
        </row>
        <row r="134">
          <cell r="H134">
            <v>1006</v>
          </cell>
          <cell r="I134" t="str">
            <v>Top Mix</v>
          </cell>
        </row>
        <row r="135">
          <cell r="H135">
            <v>1027</v>
          </cell>
          <cell r="I135" t="str">
            <v>Shake mix Clas.</v>
          </cell>
        </row>
        <row r="136">
          <cell r="H136">
            <v>1007</v>
          </cell>
          <cell r="I136" t="str">
            <v>Shake Mix Insup.</v>
          </cell>
        </row>
        <row r="137">
          <cell r="H137">
            <v>1007</v>
          </cell>
          <cell r="I137" t="str">
            <v>Shake Mix Insup.</v>
          </cell>
        </row>
        <row r="138">
          <cell r="H138">
            <v>1027</v>
          </cell>
          <cell r="I138" t="str">
            <v>Shake mix Clas.</v>
          </cell>
        </row>
        <row r="139">
          <cell r="H139">
            <v>1027</v>
          </cell>
          <cell r="I139" t="str">
            <v>Shake mix Clas.</v>
          </cell>
        </row>
        <row r="140">
          <cell r="H140">
            <v>1007</v>
          </cell>
          <cell r="I140" t="str">
            <v>Shake Mix Insup.</v>
          </cell>
        </row>
        <row r="141">
          <cell r="H141">
            <v>1019</v>
          </cell>
          <cell r="I141" t="str">
            <v>Mini SM Class</v>
          </cell>
        </row>
        <row r="142">
          <cell r="H142">
            <v>1021</v>
          </cell>
          <cell r="I142" t="str">
            <v>Mini SM Insup.</v>
          </cell>
        </row>
        <row r="143">
          <cell r="H143">
            <v>1201</v>
          </cell>
          <cell r="I143" t="str">
            <v>Linha Ovomaltine</v>
          </cell>
        </row>
        <row r="144">
          <cell r="H144">
            <v>1007</v>
          </cell>
          <cell r="I144" t="str">
            <v>Shake Mix Insup.</v>
          </cell>
        </row>
        <row r="145">
          <cell r="H145">
            <v>1007</v>
          </cell>
          <cell r="I145" t="str">
            <v>Shake Mix Insup.</v>
          </cell>
        </row>
        <row r="146">
          <cell r="H146">
            <v>1007</v>
          </cell>
          <cell r="I146" t="str">
            <v>Shake Mix Insup.</v>
          </cell>
        </row>
        <row r="147">
          <cell r="H147">
            <v>1007</v>
          </cell>
          <cell r="I147" t="str">
            <v>Shake Mix Insup.</v>
          </cell>
        </row>
        <row r="148">
          <cell r="H148">
            <v>1007</v>
          </cell>
          <cell r="I148" t="str">
            <v>Shake Mix Insup.</v>
          </cell>
        </row>
        <row r="149">
          <cell r="H149">
            <v>1007</v>
          </cell>
          <cell r="I149" t="str">
            <v>Shake Mix Insup.</v>
          </cell>
        </row>
        <row r="150">
          <cell r="H150">
            <v>1007</v>
          </cell>
          <cell r="I150" t="str">
            <v>Shake Mix Insup.</v>
          </cell>
        </row>
        <row r="151">
          <cell r="H151">
            <v>1007</v>
          </cell>
          <cell r="I151" t="str">
            <v>Shake Mix Insup.</v>
          </cell>
        </row>
        <row r="152">
          <cell r="H152">
            <v>1007</v>
          </cell>
          <cell r="I152" t="str">
            <v>Shake Mix Insup.</v>
          </cell>
        </row>
        <row r="153">
          <cell r="H153">
            <v>1007</v>
          </cell>
          <cell r="I153" t="str">
            <v>Shake Mix Insup.</v>
          </cell>
        </row>
        <row r="154">
          <cell r="H154">
            <v>1007</v>
          </cell>
          <cell r="I154" t="str">
            <v>Shake Mix Insup.</v>
          </cell>
        </row>
        <row r="155">
          <cell r="H155">
            <v>1007</v>
          </cell>
          <cell r="I155" t="str">
            <v>Shake Mix Insup.</v>
          </cell>
        </row>
        <row r="156">
          <cell r="H156">
            <v>1007</v>
          </cell>
          <cell r="I156" t="str">
            <v>Shake Mix Insup.</v>
          </cell>
        </row>
        <row r="157">
          <cell r="H157">
            <v>1008</v>
          </cell>
          <cell r="I157" t="str">
            <v>Sundae</v>
          </cell>
        </row>
        <row r="158">
          <cell r="H158">
            <v>1008</v>
          </cell>
          <cell r="I158" t="str">
            <v>Sundae</v>
          </cell>
        </row>
        <row r="159">
          <cell r="H159">
            <v>1008</v>
          </cell>
          <cell r="I159" t="str">
            <v>Sundae</v>
          </cell>
        </row>
        <row r="160">
          <cell r="H160">
            <v>1008</v>
          </cell>
          <cell r="I160" t="str">
            <v>Sundae</v>
          </cell>
        </row>
        <row r="161">
          <cell r="H161">
            <v>1008</v>
          </cell>
          <cell r="I161" t="str">
            <v>Sundae</v>
          </cell>
        </row>
        <row r="162">
          <cell r="H162">
            <v>1008</v>
          </cell>
          <cell r="I162" t="str">
            <v>Sundae</v>
          </cell>
        </row>
        <row r="163">
          <cell r="H163">
            <v>1008</v>
          </cell>
          <cell r="I163" t="str">
            <v>Sundae</v>
          </cell>
        </row>
        <row r="164">
          <cell r="H164">
            <v>1008</v>
          </cell>
          <cell r="I164" t="str">
            <v>Sundae</v>
          </cell>
        </row>
        <row r="165">
          <cell r="H165">
            <v>1008</v>
          </cell>
          <cell r="I165" t="str">
            <v>Sundae</v>
          </cell>
        </row>
        <row r="166">
          <cell r="H166">
            <v>1201</v>
          </cell>
          <cell r="I166" t="str">
            <v>Linha Ovomaltine</v>
          </cell>
        </row>
        <row r="167">
          <cell r="H167">
            <v>1008</v>
          </cell>
          <cell r="I167" t="str">
            <v>Sundae</v>
          </cell>
        </row>
        <row r="168">
          <cell r="H168">
            <v>1008</v>
          </cell>
          <cell r="I168" t="str">
            <v>Sundae</v>
          </cell>
        </row>
        <row r="169">
          <cell r="H169">
            <v>1008</v>
          </cell>
          <cell r="I169" t="str">
            <v>Sundae</v>
          </cell>
        </row>
        <row r="170">
          <cell r="H170">
            <v>1008</v>
          </cell>
          <cell r="I170" t="str">
            <v>Sundae</v>
          </cell>
        </row>
        <row r="171">
          <cell r="H171">
            <v>1008</v>
          </cell>
          <cell r="I171" t="str">
            <v>Sundae</v>
          </cell>
        </row>
        <row r="172">
          <cell r="H172">
            <v>1008</v>
          </cell>
          <cell r="I172" t="str">
            <v>Sundae</v>
          </cell>
        </row>
        <row r="173">
          <cell r="H173">
            <v>1009</v>
          </cell>
          <cell r="I173" t="str">
            <v>Evento</v>
          </cell>
        </row>
        <row r="174">
          <cell r="H174">
            <v>1009</v>
          </cell>
          <cell r="I174" t="str">
            <v>Evento</v>
          </cell>
        </row>
        <row r="175">
          <cell r="H175">
            <v>1009</v>
          </cell>
          <cell r="I175" t="str">
            <v>Evento</v>
          </cell>
        </row>
        <row r="176">
          <cell r="H176">
            <v>1010</v>
          </cell>
          <cell r="I176" t="str">
            <v>Cream Tasty</v>
          </cell>
        </row>
        <row r="177">
          <cell r="H177">
            <v>1010</v>
          </cell>
          <cell r="I177" t="str">
            <v>Cream Tasty</v>
          </cell>
        </row>
        <row r="178">
          <cell r="H178">
            <v>1010</v>
          </cell>
          <cell r="I178" t="str">
            <v>Cream Tasty</v>
          </cell>
        </row>
        <row r="179">
          <cell r="H179">
            <v>1011</v>
          </cell>
          <cell r="I179" t="str">
            <v>Mix Fruit</v>
          </cell>
        </row>
        <row r="180">
          <cell r="H180">
            <v>1011</v>
          </cell>
          <cell r="I180" t="str">
            <v>Mix Fruit</v>
          </cell>
        </row>
        <row r="181">
          <cell r="H181">
            <v>1011</v>
          </cell>
          <cell r="I181" t="str">
            <v>Mix Fruit</v>
          </cell>
        </row>
        <row r="182">
          <cell r="H182">
            <v>1013</v>
          </cell>
          <cell r="I182" t="str">
            <v>Big Sundae</v>
          </cell>
        </row>
        <row r="183">
          <cell r="H183">
            <v>1013</v>
          </cell>
          <cell r="I183" t="str">
            <v>Big Sundae</v>
          </cell>
        </row>
        <row r="184">
          <cell r="H184">
            <v>1013</v>
          </cell>
          <cell r="I184" t="str">
            <v>Big Sundae</v>
          </cell>
        </row>
        <row r="185">
          <cell r="H185">
            <v>1013</v>
          </cell>
          <cell r="I185" t="str">
            <v>Big Sundae</v>
          </cell>
        </row>
        <row r="186">
          <cell r="H186">
            <v>1013</v>
          </cell>
          <cell r="I186" t="str">
            <v>Big Sundae</v>
          </cell>
        </row>
        <row r="187">
          <cell r="H187">
            <v>1013</v>
          </cell>
          <cell r="I187" t="str">
            <v>Big Sundae</v>
          </cell>
        </row>
        <row r="188">
          <cell r="H188">
            <v>1013</v>
          </cell>
          <cell r="I188" t="str">
            <v>Big Sundae</v>
          </cell>
        </row>
        <row r="189">
          <cell r="H189">
            <v>1013</v>
          </cell>
          <cell r="I189" t="str">
            <v>Big Sundae</v>
          </cell>
        </row>
        <row r="190">
          <cell r="H190">
            <v>1013</v>
          </cell>
          <cell r="I190" t="str">
            <v>Big Sundae</v>
          </cell>
        </row>
        <row r="191">
          <cell r="H191">
            <v>1014</v>
          </cell>
          <cell r="I191" t="str">
            <v>Acai</v>
          </cell>
        </row>
        <row r="192">
          <cell r="H192">
            <v>1014</v>
          </cell>
          <cell r="I192" t="str">
            <v>Acai</v>
          </cell>
        </row>
        <row r="193">
          <cell r="H193">
            <v>1014</v>
          </cell>
          <cell r="I193" t="str">
            <v>Acai</v>
          </cell>
        </row>
        <row r="194">
          <cell r="H194">
            <v>1014</v>
          </cell>
          <cell r="I194" t="str">
            <v>Acai</v>
          </cell>
        </row>
        <row r="195">
          <cell r="H195">
            <v>1014</v>
          </cell>
          <cell r="I195" t="str">
            <v>Acai</v>
          </cell>
        </row>
        <row r="196">
          <cell r="H196">
            <v>1014</v>
          </cell>
          <cell r="I196" t="str">
            <v>Acai</v>
          </cell>
        </row>
        <row r="197">
          <cell r="H197">
            <v>1014</v>
          </cell>
          <cell r="I197" t="str">
            <v>Acai</v>
          </cell>
        </row>
        <row r="198">
          <cell r="H198">
            <v>1014</v>
          </cell>
          <cell r="I198" t="str">
            <v>Acai</v>
          </cell>
        </row>
        <row r="199">
          <cell r="H199">
            <v>1015</v>
          </cell>
          <cell r="I199" t="str">
            <v>Petit Gateau</v>
          </cell>
        </row>
        <row r="200">
          <cell r="H200">
            <v>1015</v>
          </cell>
          <cell r="I200" t="str">
            <v>Petit Gateau</v>
          </cell>
        </row>
        <row r="201">
          <cell r="H201">
            <v>1015</v>
          </cell>
          <cell r="I201" t="str">
            <v>Petit Gateau</v>
          </cell>
        </row>
        <row r="202">
          <cell r="H202">
            <v>1017</v>
          </cell>
          <cell r="I202" t="str">
            <v>Pote</v>
          </cell>
        </row>
        <row r="203">
          <cell r="H203">
            <v>1017</v>
          </cell>
          <cell r="I203" t="str">
            <v>Pote</v>
          </cell>
        </row>
        <row r="204">
          <cell r="H204">
            <v>1017</v>
          </cell>
          <cell r="I204" t="str">
            <v>Pote</v>
          </cell>
        </row>
        <row r="205">
          <cell r="H205">
            <v>1017</v>
          </cell>
          <cell r="I205" t="str">
            <v>Pote</v>
          </cell>
        </row>
        <row r="206">
          <cell r="H206">
            <v>1017</v>
          </cell>
          <cell r="I206" t="str">
            <v>Pote</v>
          </cell>
        </row>
        <row r="207">
          <cell r="H207">
            <v>1017</v>
          </cell>
          <cell r="I207" t="str">
            <v>Pote</v>
          </cell>
        </row>
        <row r="208">
          <cell r="H208">
            <v>1017</v>
          </cell>
          <cell r="I208" t="str">
            <v>Pote</v>
          </cell>
        </row>
        <row r="209">
          <cell r="H209">
            <v>1017</v>
          </cell>
          <cell r="I209" t="str">
            <v>Pote</v>
          </cell>
        </row>
        <row r="210">
          <cell r="H210">
            <v>1017</v>
          </cell>
          <cell r="I210" t="str">
            <v>Pote</v>
          </cell>
        </row>
        <row r="211">
          <cell r="H211">
            <v>1018</v>
          </cell>
          <cell r="I211" t="str">
            <v>Sorvete no Copo</v>
          </cell>
        </row>
        <row r="212">
          <cell r="H212">
            <v>1018</v>
          </cell>
          <cell r="I212" t="str">
            <v>Sorvete no Copo</v>
          </cell>
        </row>
        <row r="213">
          <cell r="H213">
            <v>1018</v>
          </cell>
          <cell r="I213" t="str">
            <v>Sorvete no Copo</v>
          </cell>
        </row>
        <row r="214">
          <cell r="H214">
            <v>1018</v>
          </cell>
          <cell r="I214" t="str">
            <v>Sorvete no Copo</v>
          </cell>
        </row>
        <row r="215">
          <cell r="H215">
            <v>1020</v>
          </cell>
          <cell r="I215" t="str">
            <v>Ed. Limitada</v>
          </cell>
        </row>
        <row r="216">
          <cell r="H216">
            <v>1020</v>
          </cell>
          <cell r="I216" t="str">
            <v>Ed. Limitada</v>
          </cell>
        </row>
        <row r="217">
          <cell r="H217">
            <v>1020</v>
          </cell>
          <cell r="I217" t="str">
            <v>Ed. Limitada</v>
          </cell>
        </row>
        <row r="218">
          <cell r="H218">
            <v>1020</v>
          </cell>
          <cell r="I218" t="str">
            <v>Ed. Limitada</v>
          </cell>
        </row>
        <row r="219">
          <cell r="H219">
            <v>1020</v>
          </cell>
          <cell r="I219" t="str">
            <v>Ed. Limitada</v>
          </cell>
        </row>
        <row r="220">
          <cell r="H220">
            <v>1020</v>
          </cell>
          <cell r="I220" t="str">
            <v>Ed. Limitada</v>
          </cell>
        </row>
        <row r="221">
          <cell r="H221">
            <v>1020</v>
          </cell>
          <cell r="I221" t="str">
            <v>Ed. Limitada</v>
          </cell>
        </row>
        <row r="222">
          <cell r="H222">
            <v>1020</v>
          </cell>
          <cell r="I222" t="str">
            <v>Ed. Limitada</v>
          </cell>
        </row>
        <row r="223">
          <cell r="H223">
            <v>1020</v>
          </cell>
          <cell r="I223" t="str">
            <v>Ed. Limitada</v>
          </cell>
        </row>
        <row r="224">
          <cell r="H224">
            <v>1020</v>
          </cell>
          <cell r="I224" t="str">
            <v>Ed. Limitada</v>
          </cell>
        </row>
        <row r="225">
          <cell r="H225">
            <v>1020</v>
          </cell>
          <cell r="I225" t="str">
            <v>Ed. Limitada</v>
          </cell>
        </row>
        <row r="226">
          <cell r="H226">
            <v>1020</v>
          </cell>
          <cell r="I226" t="str">
            <v>Ed. Limitada</v>
          </cell>
        </row>
        <row r="227">
          <cell r="H227">
            <v>1020</v>
          </cell>
          <cell r="I227" t="str">
            <v>Ed. Limitada</v>
          </cell>
        </row>
        <row r="228">
          <cell r="H228">
            <v>1020</v>
          </cell>
          <cell r="I228" t="str">
            <v>Ed. Limitada</v>
          </cell>
        </row>
        <row r="229">
          <cell r="H229">
            <v>1020</v>
          </cell>
          <cell r="I229" t="str">
            <v>Ed. Limitada</v>
          </cell>
        </row>
        <row r="230">
          <cell r="H230">
            <v>1020</v>
          </cell>
          <cell r="I230" t="str">
            <v>Ed. Limitada</v>
          </cell>
        </row>
        <row r="231">
          <cell r="H231">
            <v>1020</v>
          </cell>
          <cell r="I231" t="str">
            <v>Ed. Limitada</v>
          </cell>
        </row>
        <row r="232">
          <cell r="H232">
            <v>1020</v>
          </cell>
          <cell r="I232" t="str">
            <v>Ed. Limitada</v>
          </cell>
        </row>
        <row r="233">
          <cell r="H233">
            <v>1020</v>
          </cell>
          <cell r="I233" t="str">
            <v>Ed. Limitada</v>
          </cell>
        </row>
        <row r="234">
          <cell r="H234">
            <v>1020</v>
          </cell>
          <cell r="I234" t="str">
            <v>Ed. Limitada</v>
          </cell>
        </row>
        <row r="235">
          <cell r="H235">
            <v>1020</v>
          </cell>
          <cell r="I235" t="str">
            <v>Ed. Limitada</v>
          </cell>
        </row>
        <row r="236">
          <cell r="H236">
            <v>1020</v>
          </cell>
          <cell r="I236" t="str">
            <v>Ed. Limitada</v>
          </cell>
        </row>
        <row r="237">
          <cell r="H237">
            <v>1020</v>
          </cell>
          <cell r="I237" t="str">
            <v>Ed. Limitada</v>
          </cell>
        </row>
        <row r="238">
          <cell r="H238">
            <v>1020</v>
          </cell>
          <cell r="I238" t="str">
            <v>Ed. Limitada</v>
          </cell>
        </row>
        <row r="239">
          <cell r="H239">
            <v>1020</v>
          </cell>
          <cell r="I239" t="str">
            <v>Ed. Limitada</v>
          </cell>
        </row>
        <row r="240">
          <cell r="H240">
            <v>1019</v>
          </cell>
          <cell r="I240" t="str">
            <v>Mini SM Class</v>
          </cell>
        </row>
        <row r="241">
          <cell r="H241">
            <v>1021</v>
          </cell>
          <cell r="I241" t="str">
            <v>Mini SM Insup.</v>
          </cell>
        </row>
        <row r="242">
          <cell r="H242">
            <v>1021</v>
          </cell>
          <cell r="I242" t="str">
            <v>Mini SM Insup.</v>
          </cell>
        </row>
        <row r="243">
          <cell r="H243">
            <v>1021</v>
          </cell>
          <cell r="I243" t="str">
            <v>Mini SM Insup.</v>
          </cell>
        </row>
        <row r="244">
          <cell r="H244">
            <v>1021</v>
          </cell>
          <cell r="I244" t="str">
            <v>Mini SM Insup.</v>
          </cell>
        </row>
        <row r="245">
          <cell r="H245">
            <v>1019</v>
          </cell>
          <cell r="I245" t="str">
            <v>Mini SM Class</v>
          </cell>
        </row>
        <row r="246">
          <cell r="H246">
            <v>1021</v>
          </cell>
          <cell r="I246" t="str">
            <v>Mini SM Insup.</v>
          </cell>
        </row>
        <row r="247">
          <cell r="H247">
            <v>1021</v>
          </cell>
          <cell r="I247" t="str">
            <v>Mini SM Insup.</v>
          </cell>
        </row>
        <row r="248">
          <cell r="H248">
            <v>1021</v>
          </cell>
          <cell r="I248" t="str">
            <v>Mini SM Insup.</v>
          </cell>
        </row>
        <row r="249">
          <cell r="H249">
            <v>1021</v>
          </cell>
          <cell r="I249" t="str">
            <v>Mini SM Insup.</v>
          </cell>
        </row>
        <row r="250">
          <cell r="H250">
            <v>1021</v>
          </cell>
          <cell r="I250" t="str">
            <v>Mini SM Insup.</v>
          </cell>
        </row>
        <row r="251">
          <cell r="H251">
            <v>1019</v>
          </cell>
          <cell r="I251" t="str">
            <v>Mini SM Class</v>
          </cell>
        </row>
        <row r="252">
          <cell r="H252">
            <v>1019</v>
          </cell>
          <cell r="I252" t="str">
            <v>Mini SM Class</v>
          </cell>
        </row>
        <row r="253">
          <cell r="H253">
            <v>1021</v>
          </cell>
          <cell r="I253" t="str">
            <v>Mini SM Insup.</v>
          </cell>
        </row>
        <row r="254">
          <cell r="H254">
            <v>1021</v>
          </cell>
          <cell r="I254" t="str">
            <v>Mini SM Insup.</v>
          </cell>
        </row>
        <row r="255">
          <cell r="H255">
            <v>1021</v>
          </cell>
          <cell r="I255" t="str">
            <v>Mini SM Insup.</v>
          </cell>
        </row>
        <row r="256">
          <cell r="H256">
            <v>1021</v>
          </cell>
          <cell r="I256" t="str">
            <v>Mini SM Insup.</v>
          </cell>
        </row>
        <row r="257">
          <cell r="H257">
            <v>1021</v>
          </cell>
          <cell r="I257" t="str">
            <v>Mini SM Insup.</v>
          </cell>
        </row>
        <row r="258">
          <cell r="H258">
            <v>1021</v>
          </cell>
          <cell r="I258" t="str">
            <v>Mini SM Insup.</v>
          </cell>
        </row>
        <row r="259">
          <cell r="H259">
            <v>1021</v>
          </cell>
          <cell r="I259" t="str">
            <v>Mini SM Insup.</v>
          </cell>
        </row>
        <row r="260">
          <cell r="H260">
            <v>1022</v>
          </cell>
          <cell r="I260" t="str">
            <v>Bubble Waffle</v>
          </cell>
        </row>
        <row r="261">
          <cell r="H261">
            <v>1022</v>
          </cell>
          <cell r="I261" t="str">
            <v>Bubble Waffle</v>
          </cell>
        </row>
        <row r="262">
          <cell r="H262">
            <v>1030</v>
          </cell>
          <cell r="I262" t="str">
            <v>Campanha Nutella</v>
          </cell>
        </row>
        <row r="263">
          <cell r="H263">
            <v>1030</v>
          </cell>
          <cell r="I263" t="str">
            <v>Campanha Nutella</v>
          </cell>
        </row>
        <row r="264">
          <cell r="H264">
            <v>1030</v>
          </cell>
          <cell r="I264" t="str">
            <v>Campanha Nutella</v>
          </cell>
        </row>
        <row r="265">
          <cell r="H265">
            <v>1030</v>
          </cell>
          <cell r="I265" t="str">
            <v>Campanha Nutella</v>
          </cell>
        </row>
        <row r="266">
          <cell r="H266">
            <v>1030</v>
          </cell>
          <cell r="I266" t="str">
            <v>Campanha Nutella</v>
          </cell>
        </row>
        <row r="267">
          <cell r="H267">
            <v>1030</v>
          </cell>
          <cell r="I267" t="str">
            <v>Campanha Nutella</v>
          </cell>
        </row>
        <row r="268">
          <cell r="H268">
            <v>1030</v>
          </cell>
          <cell r="I268" t="str">
            <v>Campanha Nutella</v>
          </cell>
        </row>
        <row r="269">
          <cell r="H269">
            <v>1030</v>
          </cell>
          <cell r="I269" t="str">
            <v>Campanha Nutella</v>
          </cell>
        </row>
        <row r="270">
          <cell r="H270">
            <v>1031</v>
          </cell>
          <cell r="I270" t="str">
            <v>Campanha Ovomaltine</v>
          </cell>
        </row>
        <row r="271">
          <cell r="H271">
            <v>1031</v>
          </cell>
          <cell r="I271" t="str">
            <v>Campanha Ovomaltine</v>
          </cell>
        </row>
        <row r="272">
          <cell r="H272">
            <v>1031</v>
          </cell>
          <cell r="I272" t="str">
            <v>Campanha Ovomaltine</v>
          </cell>
        </row>
        <row r="273">
          <cell r="H273">
            <v>1031</v>
          </cell>
          <cell r="I273" t="str">
            <v>Campanha Ovomaltine</v>
          </cell>
        </row>
        <row r="274">
          <cell r="H274">
            <v>1031</v>
          </cell>
          <cell r="I274" t="str">
            <v>Campanha Ovomaltine</v>
          </cell>
        </row>
        <row r="275">
          <cell r="H275">
            <v>1031</v>
          </cell>
          <cell r="I275" t="str">
            <v>Campanha Ovomaltine</v>
          </cell>
        </row>
        <row r="276">
          <cell r="H276">
            <v>1031</v>
          </cell>
          <cell r="I276" t="str">
            <v>Campanha Ovomaltine</v>
          </cell>
        </row>
        <row r="277">
          <cell r="H277">
            <v>1032</v>
          </cell>
          <cell r="I277" t="str">
            <v>Camp. Especialidades</v>
          </cell>
        </row>
        <row r="278">
          <cell r="H278">
            <v>1032</v>
          </cell>
          <cell r="I278" t="str">
            <v>Camp. Especialidades</v>
          </cell>
        </row>
        <row r="279">
          <cell r="H279">
            <v>1032</v>
          </cell>
          <cell r="I279" t="str">
            <v>Camp. Especialidades</v>
          </cell>
        </row>
        <row r="280">
          <cell r="H280">
            <v>1032</v>
          </cell>
          <cell r="I280" t="str">
            <v>Camp. Especialidades</v>
          </cell>
        </row>
        <row r="281">
          <cell r="H281">
            <v>1032</v>
          </cell>
          <cell r="I281" t="str">
            <v>Camp. Especialidades</v>
          </cell>
        </row>
        <row r="282">
          <cell r="H282">
            <v>1032</v>
          </cell>
          <cell r="I282" t="str">
            <v>Camp. Especialidades</v>
          </cell>
        </row>
        <row r="283">
          <cell r="H283">
            <v>1032</v>
          </cell>
          <cell r="I283" t="str">
            <v>Camp. Especialidades</v>
          </cell>
        </row>
        <row r="284">
          <cell r="H284">
            <v>1032</v>
          </cell>
          <cell r="I284" t="str">
            <v>Camp. Especialidades</v>
          </cell>
        </row>
        <row r="285">
          <cell r="H285">
            <v>1032</v>
          </cell>
          <cell r="I285" t="str">
            <v>Camp. Especialidades</v>
          </cell>
        </row>
        <row r="286">
          <cell r="H286">
            <v>1032</v>
          </cell>
          <cell r="I286" t="str">
            <v>Camp. Especialidades</v>
          </cell>
        </row>
        <row r="287">
          <cell r="H287">
            <v>1032</v>
          </cell>
          <cell r="I287" t="str">
            <v>Camp. Especialidades</v>
          </cell>
        </row>
        <row r="288">
          <cell r="H288">
            <v>1100</v>
          </cell>
          <cell r="I288" t="str">
            <v>Adicional</v>
          </cell>
        </row>
        <row r="289">
          <cell r="H289">
            <v>1100</v>
          </cell>
          <cell r="I289" t="str">
            <v>Adicional</v>
          </cell>
        </row>
        <row r="290">
          <cell r="H290">
            <v>1100</v>
          </cell>
          <cell r="I290" t="str">
            <v>Adicional</v>
          </cell>
        </row>
        <row r="291">
          <cell r="H291">
            <v>1100</v>
          </cell>
          <cell r="I291" t="str">
            <v>Adicional</v>
          </cell>
        </row>
        <row r="292">
          <cell r="H292">
            <v>1100</v>
          </cell>
          <cell r="I292" t="str">
            <v>Adicional</v>
          </cell>
        </row>
        <row r="293">
          <cell r="H293">
            <v>1100</v>
          </cell>
          <cell r="I293" t="str">
            <v>Adicional</v>
          </cell>
        </row>
        <row r="294">
          <cell r="H294">
            <v>1100</v>
          </cell>
          <cell r="I294" t="str">
            <v>Adicional</v>
          </cell>
        </row>
        <row r="295">
          <cell r="H295">
            <v>1100</v>
          </cell>
          <cell r="I295" t="str">
            <v>Adicional</v>
          </cell>
        </row>
        <row r="296">
          <cell r="H296">
            <v>1100</v>
          </cell>
          <cell r="I296" t="str">
            <v>Adicional</v>
          </cell>
        </row>
        <row r="297">
          <cell r="H297">
            <v>1100</v>
          </cell>
          <cell r="I297" t="str">
            <v>Adicional</v>
          </cell>
        </row>
        <row r="298">
          <cell r="H298">
            <v>1100</v>
          </cell>
          <cell r="I298" t="str">
            <v>Adicional</v>
          </cell>
        </row>
        <row r="299">
          <cell r="H299">
            <v>1100</v>
          </cell>
          <cell r="I299" t="str">
            <v>Adicional</v>
          </cell>
        </row>
        <row r="300">
          <cell r="H300">
            <v>1100</v>
          </cell>
          <cell r="I300" t="str">
            <v>Adicional</v>
          </cell>
        </row>
        <row r="301">
          <cell r="H301">
            <v>1100</v>
          </cell>
          <cell r="I301" t="str">
            <v>Adicional</v>
          </cell>
        </row>
        <row r="302">
          <cell r="H302">
            <v>1100</v>
          </cell>
          <cell r="I302" t="str">
            <v>Adicional</v>
          </cell>
        </row>
        <row r="303">
          <cell r="H303">
            <v>1100</v>
          </cell>
          <cell r="I303" t="str">
            <v>Adicional</v>
          </cell>
        </row>
        <row r="304">
          <cell r="H304">
            <v>1100</v>
          </cell>
          <cell r="I304" t="str">
            <v>Adicional</v>
          </cell>
        </row>
        <row r="305">
          <cell r="H305">
            <v>1100</v>
          </cell>
          <cell r="I305" t="str">
            <v>Adicional</v>
          </cell>
        </row>
        <row r="306">
          <cell r="H306">
            <v>1100</v>
          </cell>
          <cell r="I306" t="str">
            <v>Adicional</v>
          </cell>
        </row>
        <row r="307">
          <cell r="H307">
            <v>1100</v>
          </cell>
          <cell r="I307" t="str">
            <v>Adicional</v>
          </cell>
        </row>
        <row r="308">
          <cell r="H308">
            <v>1100</v>
          </cell>
          <cell r="I308" t="str">
            <v>Adicional</v>
          </cell>
        </row>
        <row r="309">
          <cell r="H309">
            <v>1100</v>
          </cell>
          <cell r="I309" t="str">
            <v>Adicional</v>
          </cell>
        </row>
        <row r="310">
          <cell r="H310">
            <v>1100</v>
          </cell>
          <cell r="I310" t="str">
            <v>Adicional</v>
          </cell>
        </row>
        <row r="311">
          <cell r="H311">
            <v>1100</v>
          </cell>
          <cell r="I311" t="str">
            <v>Adicional</v>
          </cell>
        </row>
        <row r="312">
          <cell r="H312">
            <v>1100</v>
          </cell>
          <cell r="I312" t="str">
            <v>Adicional</v>
          </cell>
        </row>
        <row r="313">
          <cell r="H313">
            <v>1100</v>
          </cell>
          <cell r="I313" t="str">
            <v>Adicional</v>
          </cell>
        </row>
        <row r="314">
          <cell r="H314">
            <v>1100</v>
          </cell>
          <cell r="I314" t="str">
            <v>Adicional</v>
          </cell>
        </row>
        <row r="315">
          <cell r="H315">
            <v>1100</v>
          </cell>
          <cell r="I315" t="str">
            <v>Adicional</v>
          </cell>
        </row>
        <row r="316">
          <cell r="H316">
            <v>1100</v>
          </cell>
          <cell r="I316" t="str">
            <v>Adicional</v>
          </cell>
        </row>
        <row r="317">
          <cell r="H317">
            <v>1100</v>
          </cell>
          <cell r="I317" t="str">
            <v>Adicional</v>
          </cell>
        </row>
        <row r="318">
          <cell r="H318">
            <v>1100</v>
          </cell>
          <cell r="I318" t="str">
            <v>Adicional</v>
          </cell>
        </row>
        <row r="319">
          <cell r="H319">
            <v>1100</v>
          </cell>
          <cell r="I319" t="str">
            <v>Adicional</v>
          </cell>
        </row>
        <row r="320">
          <cell r="H320">
            <v>1100</v>
          </cell>
          <cell r="I320" t="str">
            <v>Adicional</v>
          </cell>
        </row>
        <row r="321">
          <cell r="H321">
            <v>1100</v>
          </cell>
          <cell r="I321" t="str">
            <v>Adicional</v>
          </cell>
        </row>
        <row r="322">
          <cell r="H322">
            <v>1100</v>
          </cell>
          <cell r="I322" t="str">
            <v>Adicional</v>
          </cell>
        </row>
        <row r="323">
          <cell r="H323">
            <v>1100</v>
          </cell>
          <cell r="I323" t="str">
            <v>Adicional</v>
          </cell>
        </row>
        <row r="324">
          <cell r="H324">
            <v>1100</v>
          </cell>
          <cell r="I324" t="str">
            <v>Adicional</v>
          </cell>
        </row>
        <row r="325">
          <cell r="H325">
            <v>1100</v>
          </cell>
          <cell r="I325" t="str">
            <v>Adicional</v>
          </cell>
        </row>
        <row r="326">
          <cell r="H326">
            <v>1100</v>
          </cell>
          <cell r="I326" t="str">
            <v>Adicional</v>
          </cell>
        </row>
        <row r="327">
          <cell r="H327">
            <v>1100</v>
          </cell>
          <cell r="I327" t="str">
            <v>Adicional</v>
          </cell>
        </row>
        <row r="328">
          <cell r="H328">
            <v>1100</v>
          </cell>
          <cell r="I328" t="str">
            <v>Adicional</v>
          </cell>
        </row>
        <row r="329">
          <cell r="H329">
            <v>1100</v>
          </cell>
          <cell r="I329" t="str">
            <v>Adicional</v>
          </cell>
        </row>
        <row r="330">
          <cell r="H330">
            <v>1100</v>
          </cell>
          <cell r="I330" t="str">
            <v>Adicional</v>
          </cell>
        </row>
        <row r="331">
          <cell r="H331">
            <v>1100</v>
          </cell>
          <cell r="I331" t="str">
            <v>Adicional</v>
          </cell>
        </row>
        <row r="332">
          <cell r="H332">
            <v>1101</v>
          </cell>
          <cell r="I332" t="str">
            <v>Adicional</v>
          </cell>
        </row>
        <row r="333">
          <cell r="H333">
            <v>1101</v>
          </cell>
          <cell r="I333" t="str">
            <v>Adicional</v>
          </cell>
        </row>
        <row r="334">
          <cell r="H334">
            <v>1014</v>
          </cell>
          <cell r="I334" t="str">
            <v>Acai</v>
          </cell>
        </row>
        <row r="335">
          <cell r="H335">
            <v>1014</v>
          </cell>
          <cell r="I335" t="str">
            <v>Acai</v>
          </cell>
        </row>
        <row r="336">
          <cell r="H336">
            <v>1014</v>
          </cell>
          <cell r="I336" t="str">
            <v>Acai</v>
          </cell>
        </row>
        <row r="337">
          <cell r="H337">
            <v>1014</v>
          </cell>
          <cell r="I337" t="str">
            <v>Acai</v>
          </cell>
        </row>
        <row r="338">
          <cell r="H338">
            <v>1014</v>
          </cell>
          <cell r="I338" t="str">
            <v>Acai</v>
          </cell>
        </row>
        <row r="339">
          <cell r="H339">
            <v>1014</v>
          </cell>
          <cell r="I339" t="str">
            <v>Acai</v>
          </cell>
        </row>
        <row r="340">
          <cell r="H340">
            <v>1101</v>
          </cell>
          <cell r="I340" t="str">
            <v>Adicional</v>
          </cell>
        </row>
        <row r="341">
          <cell r="H341">
            <v>1101</v>
          </cell>
          <cell r="I341" t="str">
            <v>Adicional</v>
          </cell>
        </row>
        <row r="342">
          <cell r="H342">
            <v>1101</v>
          </cell>
          <cell r="I342" t="str">
            <v>Adicional</v>
          </cell>
        </row>
        <row r="343">
          <cell r="H343">
            <v>1101</v>
          </cell>
          <cell r="I343" t="str">
            <v>Adicional</v>
          </cell>
        </row>
        <row r="344">
          <cell r="H344">
            <v>1100</v>
          </cell>
          <cell r="I344" t="str">
            <v>Adicional</v>
          </cell>
        </row>
        <row r="345">
          <cell r="H345">
            <v>1207</v>
          </cell>
          <cell r="I345" t="str">
            <v>Linha Café</v>
          </cell>
        </row>
        <row r="346">
          <cell r="H346">
            <v>1207</v>
          </cell>
          <cell r="I346" t="str">
            <v>Linha Café</v>
          </cell>
        </row>
        <row r="347">
          <cell r="H347">
            <v>1207</v>
          </cell>
          <cell r="I347" t="str">
            <v>Linha Café</v>
          </cell>
        </row>
        <row r="348">
          <cell r="H348">
            <v>1207</v>
          </cell>
          <cell r="I348" t="str">
            <v>Linha Café</v>
          </cell>
        </row>
        <row r="349">
          <cell r="H349">
            <v>1207</v>
          </cell>
          <cell r="I349" t="str">
            <v>Linha Café</v>
          </cell>
        </row>
        <row r="350">
          <cell r="H350">
            <v>1207</v>
          </cell>
          <cell r="I350" t="str">
            <v>Linha Café</v>
          </cell>
        </row>
        <row r="351">
          <cell r="H351">
            <v>1207</v>
          </cell>
          <cell r="I351" t="str">
            <v>Linha Café</v>
          </cell>
        </row>
        <row r="352">
          <cell r="H352">
            <v>1501</v>
          </cell>
          <cell r="I352" t="str">
            <v>Agua Mineral</v>
          </cell>
        </row>
        <row r="353">
          <cell r="H353">
            <v>1501</v>
          </cell>
          <cell r="I353" t="str">
            <v>Agua Mineral</v>
          </cell>
        </row>
        <row r="354">
          <cell r="H354">
            <v>1501</v>
          </cell>
          <cell r="I354" t="str">
            <v>Agua Mineral</v>
          </cell>
        </row>
        <row r="355">
          <cell r="H355">
            <v>1501</v>
          </cell>
          <cell r="I355" t="str">
            <v>Agua Mineral</v>
          </cell>
        </row>
        <row r="356">
          <cell r="H356">
            <v>1501</v>
          </cell>
          <cell r="I356" t="str">
            <v>Agua Mineral</v>
          </cell>
        </row>
        <row r="357">
          <cell r="H357">
            <v>1502</v>
          </cell>
          <cell r="I357" t="str">
            <v>Refrigerante</v>
          </cell>
        </row>
        <row r="358">
          <cell r="H358">
            <v>1502</v>
          </cell>
          <cell r="I358" t="str">
            <v>Refrigerante</v>
          </cell>
        </row>
        <row r="359">
          <cell r="H359">
            <v>1502</v>
          </cell>
          <cell r="I359" t="str">
            <v>Refrigerante</v>
          </cell>
        </row>
        <row r="360">
          <cell r="H360">
            <v>1502</v>
          </cell>
          <cell r="I360" t="str">
            <v>Refrigerante</v>
          </cell>
        </row>
        <row r="361">
          <cell r="H361">
            <v>2010</v>
          </cell>
          <cell r="I361" t="str">
            <v>OUTROS INSUMOS</v>
          </cell>
        </row>
        <row r="362">
          <cell r="H362">
            <v>1503</v>
          </cell>
          <cell r="I362" t="str">
            <v>Sucos</v>
          </cell>
        </row>
        <row r="363">
          <cell r="H363">
            <v>1503</v>
          </cell>
          <cell r="I363" t="str">
            <v>Sucos</v>
          </cell>
        </row>
        <row r="364">
          <cell r="H364">
            <v>1503</v>
          </cell>
          <cell r="I364" t="str">
            <v>Sucos</v>
          </cell>
        </row>
        <row r="365">
          <cell r="H365">
            <v>1503</v>
          </cell>
          <cell r="I365" t="str">
            <v>Sucos</v>
          </cell>
        </row>
        <row r="366">
          <cell r="H366">
            <v>2010</v>
          </cell>
          <cell r="I366" t="str">
            <v>OUTROS INSUMOS</v>
          </cell>
        </row>
        <row r="367">
          <cell r="H367">
            <v>2101</v>
          </cell>
          <cell r="I367" t="str">
            <v>CALDA</v>
          </cell>
        </row>
        <row r="368">
          <cell r="H368">
            <v>2101</v>
          </cell>
          <cell r="I368" t="str">
            <v>CALDA</v>
          </cell>
        </row>
        <row r="369">
          <cell r="H369">
            <v>2101</v>
          </cell>
          <cell r="I369" t="str">
            <v>CALDA</v>
          </cell>
        </row>
        <row r="370">
          <cell r="H370">
            <v>2102</v>
          </cell>
          <cell r="I370" t="str">
            <v>DESCARTAVEIS</v>
          </cell>
        </row>
        <row r="371">
          <cell r="H371">
            <v>2102</v>
          </cell>
          <cell r="I371" t="str">
            <v>DESCARTAVEIS</v>
          </cell>
        </row>
        <row r="372">
          <cell r="H372">
            <v>2102</v>
          </cell>
          <cell r="I372" t="str">
            <v>DESCARTAVEIS</v>
          </cell>
        </row>
        <row r="373">
          <cell r="H373">
            <v>2102</v>
          </cell>
          <cell r="I373" t="str">
            <v>DESCARTAVEIS</v>
          </cell>
        </row>
        <row r="374">
          <cell r="H374">
            <v>2102</v>
          </cell>
          <cell r="I374" t="str">
            <v>DESCARTAVEIS</v>
          </cell>
        </row>
        <row r="375">
          <cell r="H375">
            <v>2102</v>
          </cell>
          <cell r="I375" t="str">
            <v>DESCARTAVEIS</v>
          </cell>
        </row>
        <row r="376">
          <cell r="H376">
            <v>2102</v>
          </cell>
          <cell r="I376" t="str">
            <v>DESCARTAVEIS</v>
          </cell>
        </row>
        <row r="377">
          <cell r="H377">
            <v>2102</v>
          </cell>
          <cell r="I377" t="str">
            <v>DESCARTAVEIS</v>
          </cell>
        </row>
        <row r="378">
          <cell r="H378">
            <v>2102</v>
          </cell>
          <cell r="I378" t="str">
            <v>DESCARTAVEIS</v>
          </cell>
        </row>
        <row r="379">
          <cell r="H379">
            <v>2102</v>
          </cell>
          <cell r="I379" t="str">
            <v>DESCARTAVEIS</v>
          </cell>
        </row>
        <row r="380">
          <cell r="H380">
            <v>2102</v>
          </cell>
          <cell r="I380" t="str">
            <v>DESCARTAVEIS</v>
          </cell>
        </row>
        <row r="381">
          <cell r="H381">
            <v>2102</v>
          </cell>
          <cell r="I381" t="str">
            <v>DESCARTAVEIS</v>
          </cell>
        </row>
        <row r="382">
          <cell r="H382">
            <v>2102</v>
          </cell>
          <cell r="I382" t="str">
            <v>DESCARTAVEIS</v>
          </cell>
        </row>
        <row r="383">
          <cell r="H383">
            <v>2102</v>
          </cell>
          <cell r="I383" t="str">
            <v>DESCARTAVEIS</v>
          </cell>
        </row>
        <row r="384">
          <cell r="H384">
            <v>2102</v>
          </cell>
          <cell r="I384" t="str">
            <v>DESCARTAVEIS</v>
          </cell>
        </row>
        <row r="385">
          <cell r="H385">
            <v>2102</v>
          </cell>
          <cell r="I385" t="str">
            <v>DESCARTAVEIS</v>
          </cell>
        </row>
        <row r="386">
          <cell r="H386">
            <v>2102</v>
          </cell>
          <cell r="I386" t="str">
            <v>DESCARTAVEIS</v>
          </cell>
        </row>
        <row r="387">
          <cell r="H387">
            <v>2102</v>
          </cell>
          <cell r="I387" t="str">
            <v>DESCARTAVEIS</v>
          </cell>
        </row>
        <row r="388">
          <cell r="H388">
            <v>2102</v>
          </cell>
          <cell r="I388" t="str">
            <v>DESCARTAVEIS</v>
          </cell>
        </row>
        <row r="389">
          <cell r="H389">
            <v>2104</v>
          </cell>
          <cell r="I389" t="str">
            <v>POLPA</v>
          </cell>
        </row>
        <row r="390">
          <cell r="H390">
            <v>2104</v>
          </cell>
          <cell r="I390" t="str">
            <v>POLPA</v>
          </cell>
        </row>
        <row r="391">
          <cell r="H391">
            <v>2104</v>
          </cell>
          <cell r="I391" t="str">
            <v>POLPA</v>
          </cell>
        </row>
        <row r="392">
          <cell r="H392">
            <v>2104</v>
          </cell>
          <cell r="I392" t="str">
            <v>POLPA</v>
          </cell>
        </row>
        <row r="393">
          <cell r="H393">
            <v>2104</v>
          </cell>
          <cell r="I393" t="str">
            <v>POLPA</v>
          </cell>
        </row>
        <row r="394">
          <cell r="H394">
            <v>2105</v>
          </cell>
          <cell r="I394" t="str">
            <v>COBERTURA</v>
          </cell>
        </row>
        <row r="395">
          <cell r="H395">
            <v>2105</v>
          </cell>
          <cell r="I395" t="str">
            <v>COBERTURA</v>
          </cell>
        </row>
        <row r="396">
          <cell r="H396">
            <v>2105</v>
          </cell>
          <cell r="I396" t="str">
            <v>COBERTURA</v>
          </cell>
        </row>
        <row r="397">
          <cell r="H397">
            <v>2105</v>
          </cell>
          <cell r="I397" t="str">
            <v>COBERTURA</v>
          </cell>
        </row>
        <row r="398">
          <cell r="H398">
            <v>2109</v>
          </cell>
          <cell r="I398" t="str">
            <v>CHOCOLATE</v>
          </cell>
        </row>
        <row r="399">
          <cell r="H399">
            <v>2109</v>
          </cell>
          <cell r="I399" t="str">
            <v>CHOCOLATE</v>
          </cell>
        </row>
        <row r="400">
          <cell r="H400">
            <v>2109</v>
          </cell>
          <cell r="I400" t="str">
            <v>CHOCOLATE</v>
          </cell>
        </row>
        <row r="401">
          <cell r="H401">
            <v>2109</v>
          </cell>
          <cell r="I401" t="str">
            <v>CHOCOLATE</v>
          </cell>
        </row>
        <row r="402">
          <cell r="H402">
            <v>2109</v>
          </cell>
          <cell r="I402" t="str">
            <v>CHOCOLATE</v>
          </cell>
        </row>
        <row r="403">
          <cell r="H403">
            <v>2109</v>
          </cell>
          <cell r="I403" t="str">
            <v>CHOCOLATE</v>
          </cell>
        </row>
        <row r="404">
          <cell r="H404">
            <v>2109</v>
          </cell>
          <cell r="I404" t="str">
            <v>CHOCOLATE</v>
          </cell>
        </row>
        <row r="405">
          <cell r="H405">
            <v>2109</v>
          </cell>
          <cell r="I405" t="str">
            <v>CHOCOLATE</v>
          </cell>
        </row>
        <row r="406">
          <cell r="H406">
            <v>2109</v>
          </cell>
          <cell r="I406" t="str">
            <v>CHOCOLATE</v>
          </cell>
        </row>
        <row r="407">
          <cell r="H407">
            <v>2109</v>
          </cell>
          <cell r="I407" t="str">
            <v>CHOCOLATE</v>
          </cell>
        </row>
        <row r="408">
          <cell r="H408">
            <v>2109</v>
          </cell>
          <cell r="I408" t="str">
            <v>CHOCOLATE</v>
          </cell>
        </row>
        <row r="409">
          <cell r="H409">
            <v>2109</v>
          </cell>
          <cell r="I409" t="str">
            <v>CHOCOLATE</v>
          </cell>
        </row>
        <row r="410">
          <cell r="H410">
            <v>2109</v>
          </cell>
          <cell r="I410" t="str">
            <v>CHOCOLATE</v>
          </cell>
        </row>
        <row r="411">
          <cell r="H411">
            <v>2109</v>
          </cell>
          <cell r="I411" t="str">
            <v>CHOCOLATE</v>
          </cell>
        </row>
        <row r="412">
          <cell r="H412">
            <v>2111</v>
          </cell>
          <cell r="I412" t="str">
            <v>CASQUINHA</v>
          </cell>
        </row>
        <row r="413">
          <cell r="H413">
            <v>2111</v>
          </cell>
          <cell r="I413" t="str">
            <v>CASQUINHA</v>
          </cell>
        </row>
        <row r="414">
          <cell r="H414">
            <v>2150</v>
          </cell>
          <cell r="I414" t="str">
            <v>CANECA</v>
          </cell>
        </row>
        <row r="415">
          <cell r="H415">
            <v>2160</v>
          </cell>
          <cell r="I415" t="str">
            <v>OUTROS INSUMOS</v>
          </cell>
        </row>
        <row r="416">
          <cell r="H416">
            <v>2160</v>
          </cell>
          <cell r="I416" t="str">
            <v>OUTROS INSUMOS</v>
          </cell>
        </row>
        <row r="417">
          <cell r="H417">
            <v>2160</v>
          </cell>
          <cell r="I417" t="str">
            <v>OUTROS INSUMOS</v>
          </cell>
        </row>
        <row r="418">
          <cell r="H418">
            <v>2160</v>
          </cell>
          <cell r="I418" t="str">
            <v>OUTROS INSUMOS</v>
          </cell>
        </row>
        <row r="419">
          <cell r="H419">
            <v>2160</v>
          </cell>
          <cell r="I419" t="str">
            <v>OUTROS INSUMOS</v>
          </cell>
        </row>
        <row r="420">
          <cell r="H420">
            <v>2160</v>
          </cell>
          <cell r="I420" t="str">
            <v>OUTROS INSUMOS</v>
          </cell>
        </row>
        <row r="421">
          <cell r="H421">
            <v>2160</v>
          </cell>
          <cell r="I421" t="str">
            <v>OUTROS INSUMOS</v>
          </cell>
        </row>
        <row r="422">
          <cell r="H422">
            <v>2160</v>
          </cell>
          <cell r="I422" t="str">
            <v>OUTROS INSUMOS</v>
          </cell>
        </row>
        <row r="423">
          <cell r="H423">
            <v>2160</v>
          </cell>
          <cell r="I423" t="str">
            <v>OUTROS INSUMOS</v>
          </cell>
        </row>
        <row r="424">
          <cell r="H424">
            <v>2160</v>
          </cell>
          <cell r="I424" t="str">
            <v>OUTROS INSUMOS</v>
          </cell>
        </row>
        <row r="425">
          <cell r="H425">
            <v>2160</v>
          </cell>
          <cell r="I425" t="str">
            <v>OUTROS INSUMOS</v>
          </cell>
        </row>
        <row r="426">
          <cell r="H426">
            <v>2160</v>
          </cell>
          <cell r="I426" t="str">
            <v>OUTROS INSUMOS</v>
          </cell>
        </row>
        <row r="427">
          <cell r="H427">
            <v>2160</v>
          </cell>
          <cell r="I427" t="str">
            <v>OUTROS INSUMOS</v>
          </cell>
        </row>
        <row r="428">
          <cell r="H428">
            <v>2160</v>
          </cell>
          <cell r="I428" t="str">
            <v>OUTROS INSUMOS</v>
          </cell>
        </row>
        <row r="429">
          <cell r="H429">
            <v>2160</v>
          </cell>
          <cell r="I429" t="str">
            <v>OUTROS INSUMOS</v>
          </cell>
        </row>
        <row r="430">
          <cell r="H430">
            <v>2160</v>
          </cell>
          <cell r="I430" t="str">
            <v>OUTROS INSUMOS</v>
          </cell>
        </row>
        <row r="431">
          <cell r="H431">
            <v>2160</v>
          </cell>
          <cell r="I431" t="str">
            <v>OUTROS INSUMOS</v>
          </cell>
        </row>
        <row r="432">
          <cell r="H432">
            <v>2160</v>
          </cell>
          <cell r="I432" t="str">
            <v>OUTROS INSUMOS</v>
          </cell>
        </row>
        <row r="433">
          <cell r="H433">
            <v>2160</v>
          </cell>
          <cell r="I433" t="str">
            <v>OUTROS INSUMOS</v>
          </cell>
        </row>
        <row r="434">
          <cell r="H434">
            <v>2160</v>
          </cell>
          <cell r="I434" t="str">
            <v>OUTROS INSUMOS</v>
          </cell>
        </row>
        <row r="435">
          <cell r="H435">
            <v>2160</v>
          </cell>
          <cell r="I435" t="str">
            <v>OUTROS INSUMOS</v>
          </cell>
        </row>
        <row r="436">
          <cell r="H436">
            <v>2160</v>
          </cell>
          <cell r="I436" t="str">
            <v>OUTROS INSUMOS</v>
          </cell>
        </row>
        <row r="437">
          <cell r="H437">
            <v>2160</v>
          </cell>
          <cell r="I437" t="str">
            <v>OUTROS INSUMOS</v>
          </cell>
        </row>
        <row r="438">
          <cell r="H438">
            <v>2160</v>
          </cell>
          <cell r="I438" t="str">
            <v>OUTROS INSUMOS</v>
          </cell>
        </row>
        <row r="439">
          <cell r="H439">
            <v>2201</v>
          </cell>
          <cell r="I439" t="str">
            <v>OUTROS INSUMOS</v>
          </cell>
        </row>
        <row r="440">
          <cell r="H440">
            <v>2201</v>
          </cell>
          <cell r="I440" t="str">
            <v>OUTROS INSUMOS</v>
          </cell>
        </row>
        <row r="441">
          <cell r="H441">
            <v>2202</v>
          </cell>
          <cell r="I441" t="str">
            <v>OUTROS INSUMOS</v>
          </cell>
        </row>
        <row r="442">
          <cell r="H442">
            <v>2201</v>
          </cell>
          <cell r="I442" t="str">
            <v>OUTROS INSUMOS</v>
          </cell>
        </row>
        <row r="443">
          <cell r="H443">
            <v>2160</v>
          </cell>
          <cell r="I443" t="str">
            <v>OUTROS INSUMOS</v>
          </cell>
        </row>
        <row r="444">
          <cell r="H444">
            <v>2161</v>
          </cell>
          <cell r="I444" t="str">
            <v>OUTROS INSUMOS</v>
          </cell>
        </row>
        <row r="445">
          <cell r="H445">
            <v>2161</v>
          </cell>
          <cell r="I445" t="str">
            <v>OUTROS INSUMOS</v>
          </cell>
        </row>
        <row r="446">
          <cell r="H446">
            <v>2162</v>
          </cell>
          <cell r="I446" t="str">
            <v>OUTROS INSUMOS</v>
          </cell>
        </row>
        <row r="447">
          <cell r="H447">
            <v>2160</v>
          </cell>
          <cell r="I447" t="str">
            <v>OUTROS INSUMOS</v>
          </cell>
        </row>
        <row r="448">
          <cell r="H448">
            <v>2160</v>
          </cell>
          <cell r="I448" t="str">
            <v>OUTROS INSUMOS</v>
          </cell>
        </row>
        <row r="449">
          <cell r="H449">
            <v>2160</v>
          </cell>
          <cell r="I449" t="str">
            <v>OUTROS INSUMOS</v>
          </cell>
        </row>
        <row r="450">
          <cell r="H450">
            <v>2160</v>
          </cell>
          <cell r="I450" t="str">
            <v>OUTROS INSUMOS</v>
          </cell>
        </row>
        <row r="451">
          <cell r="H451">
            <v>2160</v>
          </cell>
          <cell r="I451" t="str">
            <v>OUTROS INSUMOS</v>
          </cell>
        </row>
        <row r="452">
          <cell r="H452">
            <v>2160</v>
          </cell>
          <cell r="I452" t="str">
            <v>OUTROS INSUMOS</v>
          </cell>
        </row>
        <row r="453">
          <cell r="H453">
            <v>2160</v>
          </cell>
          <cell r="I453" t="str">
            <v>OUTROS INSUMOS</v>
          </cell>
        </row>
        <row r="454">
          <cell r="H454">
            <v>2160</v>
          </cell>
          <cell r="I454" t="str">
            <v>OUTROS INSUMOS</v>
          </cell>
        </row>
        <row r="455">
          <cell r="H455">
            <v>2160</v>
          </cell>
          <cell r="I455" t="str">
            <v>OUTROS INSUMOS</v>
          </cell>
        </row>
        <row r="456">
          <cell r="H456">
            <v>2160</v>
          </cell>
          <cell r="I456" t="str">
            <v>OUTROS INSUMOS</v>
          </cell>
        </row>
        <row r="457">
          <cell r="H457">
            <v>2160</v>
          </cell>
          <cell r="I457" t="str">
            <v>OUTROS INSUMOS</v>
          </cell>
        </row>
        <row r="458">
          <cell r="H458">
            <v>2160</v>
          </cell>
          <cell r="I458" t="str">
            <v>OUTROS INSUMOS</v>
          </cell>
        </row>
        <row r="459">
          <cell r="H459">
            <v>2160</v>
          </cell>
          <cell r="I459" t="str">
            <v>OUTROS INSUMOS</v>
          </cell>
        </row>
        <row r="460">
          <cell r="H460">
            <v>2201</v>
          </cell>
          <cell r="I460" t="str">
            <v>EMBALAGEM</v>
          </cell>
        </row>
        <row r="461">
          <cell r="H461">
            <v>2201</v>
          </cell>
          <cell r="I461" t="str">
            <v>EMBALAGEM</v>
          </cell>
        </row>
        <row r="462">
          <cell r="H462">
            <v>2201</v>
          </cell>
          <cell r="I462" t="str">
            <v>EMBALAGEM</v>
          </cell>
        </row>
        <row r="463">
          <cell r="H463">
            <v>2201</v>
          </cell>
          <cell r="I463" t="str">
            <v>EMBALAGEM</v>
          </cell>
        </row>
        <row r="464">
          <cell r="H464">
            <v>2202</v>
          </cell>
          <cell r="I464" t="str">
            <v>EMBALAGEM</v>
          </cell>
        </row>
        <row r="465">
          <cell r="H465">
            <v>2201</v>
          </cell>
          <cell r="I465" t="str">
            <v>EMBALAGEM</v>
          </cell>
        </row>
        <row r="466">
          <cell r="H466">
            <v>2201</v>
          </cell>
          <cell r="I466" t="str">
            <v>EMBALAGEM</v>
          </cell>
        </row>
        <row r="467">
          <cell r="H467">
            <v>2201</v>
          </cell>
          <cell r="I467" t="str">
            <v>EMBALAGEM</v>
          </cell>
        </row>
        <row r="468">
          <cell r="H468">
            <v>2201</v>
          </cell>
          <cell r="I468" t="str">
            <v>EMBALAGEM</v>
          </cell>
        </row>
        <row r="469">
          <cell r="H469">
            <v>2201</v>
          </cell>
          <cell r="I469" t="str">
            <v>EMBALAGEM</v>
          </cell>
        </row>
        <row r="470">
          <cell r="H470">
            <v>2201</v>
          </cell>
          <cell r="I470" t="str">
            <v>EMBALAGEM</v>
          </cell>
        </row>
        <row r="471">
          <cell r="H471">
            <v>2201</v>
          </cell>
          <cell r="I471" t="str">
            <v>EMBALAGEM</v>
          </cell>
        </row>
        <row r="476">
          <cell r="H476">
            <v>90</v>
          </cell>
        </row>
        <row r="477">
          <cell r="H477">
            <v>9.9</v>
          </cell>
        </row>
        <row r="478">
          <cell r="H478">
            <v>99.9</v>
          </cell>
        </row>
        <row r="486">
          <cell r="I486" t="str">
            <v>Mudar o percentual de lucro, esse percenutal altera automaticamente no preço da Caneca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D57290-3EAC-4FA6-8CB6-AB5C02520D73}" name="Tabela25" displayName="Tabela25" ref="A4:Q384" totalsRowShown="0" headerRowDxfId="20" dataDxfId="19" headerRowBorderDxfId="17" tableBorderDxfId="18" headerRowCellStyle="Vírgula" dataCellStyle="Vírgula">
  <autoFilter ref="A4:Q384" xr:uid="{00000000-0009-0000-0100-000004000000}"/>
  <sortState xmlns:xlrd2="http://schemas.microsoft.com/office/spreadsheetml/2017/richdata2" ref="A5:Q384">
    <sortCondition ref="C4:C384"/>
  </sortState>
  <tableColumns count="17">
    <tableColumn id="1" xr3:uid="{10A766AB-647B-46E4-9137-D574ABD1C6B3}" name="CÓDIGO" dataDxfId="16"/>
    <tableColumn id="2" xr3:uid="{03BC6ED3-7157-4E7E-A4D0-B35B31EFD9CD}" name="GRUPO" dataDxfId="15"/>
    <tableColumn id="11" xr3:uid="{413695E9-DECE-446A-886C-E936F1F22201}" name="NOME GRUPO" dataDxfId="14">
      <calculatedColumnFormula>VLOOKUP(Tabela25[[#This Row],[GRUPO]],[1]Produto!H2:I351,2,0)</calculatedColumnFormula>
    </tableColumn>
    <tableColumn id="4" xr3:uid="{F41646C4-E63B-4737-B149-A38F9CE91AC0}" name="DESCRIÇÃO DO ITEM" dataDxfId="13"/>
    <tableColumn id="5" xr3:uid="{5BCF573B-F57F-4219-A43F-E5EEFD68A25D}" name="VENDA MIN" dataDxfId="12" dataCellStyle="Vírgula"/>
    <tableColumn id="6" xr3:uid="{ECD8F448-884F-4A04-B066-304FAAD3FFBB}" name="VENDA MAX" dataDxfId="11" dataCellStyle="Vírgula"/>
    <tableColumn id="7" xr3:uid="{C2FBB515-6A64-4972-81D3-6B90135E9D0B}" name="SUGESTÃO" dataDxfId="10" dataCellStyle="Vírgula">
      <calculatedColumnFormula>VLOOKUP(Tabela25[[#This Row],[CÓDIGO]],'[1]Estrutura Loja'!$B$3:$M$2941,5,0)</calculatedColumnFormula>
    </tableColumn>
    <tableColumn id="8" xr3:uid="{3B5C5620-4A7F-47C0-A070-05CFF8C6304B}" name="DIFERENÇA" dataDxfId="9" dataCellStyle="Vírgula">
      <calculatedColumnFormula>E5-G5</calculatedColumnFormula>
    </tableColumn>
    <tableColumn id="13" xr3:uid="{084442B3-A10C-4302-A2E0-F9EC3C552543}" name="PREÇO PRATICADO" dataDxfId="8" dataCellStyle="Vírgula"/>
    <tableColumn id="14" xr3:uid="{24A820D6-53BF-43E2-B789-C28FA83CFA3A}" name="LUCRO REAL %" dataDxfId="7" dataCellStyle="Porcentagem">
      <calculatedColumnFormula>(Tabela25[[#This Row],[PREÇO PRATICADO]]-((Tabela25[[#This Row],[PREÇO PRATICADO]])*([1]Informações!$H$6+[1]Informações!$H$15+[1]Informações!$H$19+[1]Informações!$H$20))-Tabela25[[#This Row],[CUSTO]])/Tabela25[[#This Row],[PREÇO PRATICADO]]</calculatedColumnFormula>
    </tableColumn>
    <tableColumn id="9" xr3:uid="{395AF918-FD56-4237-8719-207142C4500A}" name="LUCRO REAL R$" dataDxfId="6" dataCellStyle="Porcentagem">
      <calculatedColumnFormula>Tabela25[[#This Row],[PREÇO PRATICADO]]*Tabela25[[#This Row],[LUCRO REAL %]]</calculatedColumnFormula>
    </tableColumn>
    <tableColumn id="3" xr3:uid="{A0720436-85DA-4604-BAB0-A12FD7B5F916}" name="QUANT. VENDA" dataDxfId="5" dataCellStyle="Moeda"/>
    <tableColumn id="15" xr3:uid="{C8D6092C-C303-4D74-9D9A-219300E9A6A7}" name="% CUSTO REAL" dataDxfId="4" dataCellStyle="Moeda">
      <calculatedColumnFormula>IF(Tabela25[[#This Row],[QUANT. VENDA]]=0,0,((Tabela25[[#This Row],[CUSTO]]*Tabela25[[#This Row],[QUANT. VENDA]])/(Tabela25[[#This Row],[QUANT. VENDA]]*Tabela25[[#This Row],[PREÇO PRATICADO]])))</calculatedColumnFormula>
    </tableColumn>
    <tableColumn id="10" xr3:uid="{9AF0C0E7-1EB6-41DA-8BD8-39578B95DED7}" name="CUSTO" dataDxfId="3" dataCellStyle="Vírgula"/>
    <tableColumn id="17" xr3:uid="{03C1037F-8510-42A3-8279-F04707E2C842}" name="Total Venda" dataDxfId="2" dataCellStyle="Vírgula">
      <calculatedColumnFormula>Tabela25[[#This Row],[QUANT. VENDA]]*Tabela25[[#This Row],[PREÇO PRATICADO]]</calculatedColumnFormula>
    </tableColumn>
    <tableColumn id="16" xr3:uid="{E150E85F-7155-4D94-84DD-C64E2CEFE8E2}" name="Total Custo" dataDxfId="1" dataCellStyle="Vírgula">
      <calculatedColumnFormula>Tabela25[[#This Row],[QUANT. VENDA]]*Tabela25[[#This Row],[CUSTO]]</calculatedColumnFormula>
    </tableColumn>
    <tableColumn id="12" xr3:uid="{A7767227-1EDD-4E39-A187-DF2DE6F1414B}" name="% INSUMOS" dataDxfId="0" dataCellStyle="Vírgula">
      <calculatedColumnFormula>Tabela25[[#This Row],[CUSTO]]/Tabela25[[#This Row],[PREÇO PRATICADO]]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DB48-D0C2-478E-AB12-F37FBE0D06DC}">
  <sheetPr>
    <tabColor rgb="FF800000"/>
  </sheetPr>
  <dimension ref="A1:Z391"/>
  <sheetViews>
    <sheetView showGridLines="0" tabSelected="1" zoomScale="90" zoomScaleNormal="90" workbookViewId="0">
      <pane ySplit="4" topLeftCell="A5" activePane="bottomLeft" state="frozen"/>
      <selection activeCell="E9" sqref="E9"/>
      <selection pane="bottomLeft" activeCell="V9" sqref="V9:W9"/>
    </sheetView>
  </sheetViews>
  <sheetFormatPr defaultRowHeight="14.4" x14ac:dyDescent="0.3"/>
  <cols>
    <col min="1" max="1" width="11.109375" style="96" bestFit="1" customWidth="1"/>
    <col min="2" max="2" width="9.88671875" style="79" bestFit="1" customWidth="1"/>
    <col min="3" max="3" width="22.5546875" style="79" customWidth="1"/>
    <col min="4" max="4" width="50" customWidth="1"/>
    <col min="5" max="5" width="15.44140625" style="40" customWidth="1"/>
    <col min="6" max="6" width="15.88671875" style="40" customWidth="1"/>
    <col min="7" max="7" width="14.21875" style="40" bestFit="1" customWidth="1"/>
    <col min="8" max="8" width="14.6640625" bestFit="1" customWidth="1"/>
    <col min="9" max="9" width="21.88671875" bestFit="1" customWidth="1"/>
    <col min="10" max="10" width="12" customWidth="1"/>
    <col min="11" max="11" width="17.88671875" bestFit="1" customWidth="1"/>
    <col min="12" max="12" width="18" hidden="1" customWidth="1"/>
    <col min="13" max="13" width="17.33203125" hidden="1" customWidth="1"/>
    <col min="14" max="14" width="10.5546875" bestFit="1" customWidth="1"/>
    <col min="15" max="15" width="14.6640625" hidden="1" customWidth="1"/>
    <col min="16" max="16" width="14" hidden="1" customWidth="1"/>
    <col min="17" max="17" width="15.5546875" bestFit="1" customWidth="1"/>
    <col min="18" max="18" width="2.6640625" customWidth="1"/>
    <col min="19" max="19" width="10.5546875" customWidth="1"/>
    <col min="20" max="20" width="9.33203125" bestFit="1" customWidth="1"/>
    <col min="21" max="21" width="2.6640625" customWidth="1"/>
    <col min="22" max="22" width="11" customWidth="1"/>
    <col min="24" max="24" width="2.33203125" customWidth="1"/>
    <col min="25" max="25" width="11.88671875" customWidth="1"/>
    <col min="26" max="26" width="10.6640625" customWidth="1"/>
  </cols>
  <sheetData>
    <row r="1" spans="1:26" ht="18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2" t="s">
        <v>1</v>
      </c>
      <c r="T1" s="3"/>
      <c r="V1" s="2" t="s">
        <v>2</v>
      </c>
      <c r="W1" s="3"/>
      <c r="Y1" s="4" t="s">
        <v>3</v>
      </c>
      <c r="Z1" s="5"/>
    </row>
    <row r="2" spans="1:26" ht="1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6">
        <f>AVERAGE(Q5:Q384)</f>
        <v>0.28466386219664869</v>
      </c>
      <c r="T2" s="7"/>
      <c r="V2" s="6">
        <f>AVERAGE(J5:J384)</f>
        <v>0.20312344581042638</v>
      </c>
      <c r="W2" s="7"/>
      <c r="Y2" s="8" t="e">
        <f>SUM(Tabela25[Total Custo])/SUM(Tabela25[Total Venda])</f>
        <v>#DIV/0!</v>
      </c>
      <c r="Z2" s="9"/>
    </row>
    <row r="3" spans="1:26" ht="63.6" customHeight="1" thickBo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26" ht="15" thickTop="1" x14ac:dyDescent="0.3">
      <c r="A4" s="11" t="s">
        <v>4</v>
      </c>
      <c r="B4" s="12" t="s">
        <v>5</v>
      </c>
      <c r="C4" s="12" t="s">
        <v>6</v>
      </c>
      <c r="D4" s="13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5" t="s">
        <v>12</v>
      </c>
      <c r="J4" s="14" t="s">
        <v>13</v>
      </c>
      <c r="K4" s="14" t="s">
        <v>14</v>
      </c>
      <c r="L4" s="16" t="s">
        <v>15</v>
      </c>
      <c r="M4" s="16" t="s">
        <v>16</v>
      </c>
      <c r="N4" s="14" t="s">
        <v>17</v>
      </c>
      <c r="O4" s="14" t="s">
        <v>18</v>
      </c>
      <c r="P4" s="14" t="s">
        <v>19</v>
      </c>
      <c r="Q4" s="14" t="s">
        <v>20</v>
      </c>
    </row>
    <row r="5" spans="1:26" x14ac:dyDescent="0.3">
      <c r="A5" s="17">
        <v>101400048</v>
      </c>
      <c r="B5" s="18">
        <v>1014</v>
      </c>
      <c r="C5" s="18" t="s">
        <v>21</v>
      </c>
      <c r="D5" s="19" t="s">
        <v>22</v>
      </c>
      <c r="E5" s="20">
        <v>18</v>
      </c>
      <c r="F5" s="20">
        <v>20</v>
      </c>
      <c r="G5" s="21">
        <f>VLOOKUP(Tabela25[[#This Row],[CÓDIGO]],'[1]Estrutura Loja'!$B$3:$M$2941,5,0)</f>
        <v>23.968454784172657</v>
      </c>
      <c r="H5" s="21">
        <f t="shared" ref="H5:H68" si="0">E5-G5</f>
        <v>-5.968454784172657</v>
      </c>
      <c r="I5" s="20">
        <v>18</v>
      </c>
      <c r="J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0.10782053166666665</v>
      </c>
      <c r="K5" s="23">
        <f>Tabela25[[#This Row],[PREÇO PRATICADO]]*Tabela25[[#This Row],[LUCRO REAL %]]</f>
        <v>1.9407695699999996</v>
      </c>
      <c r="L5" s="24">
        <v>0</v>
      </c>
      <c r="M5" s="25">
        <f>IF(Tabela25[[#This Row],[QUANT. VENDA]]=0,0,((Tabela25[[#This Row],[CUSTO]]*Tabela25[[#This Row],[QUANT. VENDA]])/(Tabela25[[#This Row],[QUANT. VENDA]]*Tabela25[[#This Row],[PREÇO PRATICADO]])))</f>
        <v>0</v>
      </c>
      <c r="N5" s="26">
        <f>VLOOKUP(Tabela25[[#This Row],[CÓDIGO]],'[1]Estrutura Loja'!$B$3:$E$1825,4,0)</f>
        <v>6.6632304299999996</v>
      </c>
      <c r="O5" s="26">
        <f>Tabela25[[#This Row],[QUANT. VENDA]]*Tabela25[[#This Row],[PREÇO PRATICADO]]</f>
        <v>0</v>
      </c>
      <c r="P5" s="26">
        <f>Tabela25[[#This Row],[QUANT. VENDA]]*Tabela25[[#This Row],[CUSTO]]</f>
        <v>0</v>
      </c>
      <c r="Q5" s="27">
        <f>Tabela25[[#This Row],[CUSTO]]/Tabela25[[#This Row],[PREÇO PRATICADO]]</f>
        <v>0.37017946833333332</v>
      </c>
    </row>
    <row r="6" spans="1:26" ht="16.5" customHeight="1" x14ac:dyDescent="0.3">
      <c r="A6" s="17">
        <v>101400049</v>
      </c>
      <c r="B6" s="18">
        <v>1014</v>
      </c>
      <c r="C6" s="18" t="s">
        <v>21</v>
      </c>
      <c r="D6" s="19" t="s">
        <v>23</v>
      </c>
      <c r="E6" s="20">
        <v>23</v>
      </c>
      <c r="F6" s="20">
        <v>25</v>
      </c>
      <c r="G6" s="21">
        <f>VLOOKUP(Tabela25[[#This Row],[CÓDIGO]],'[1]Estrutura Loja'!$B$3:$M$2941,5,0)</f>
        <v>31.660926187050357</v>
      </c>
      <c r="H6" s="21">
        <f t="shared" si="0"/>
        <v>-8.6609261870503573</v>
      </c>
      <c r="I6" s="20">
        <v>23</v>
      </c>
      <c r="J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9.5315761739130436E-2</v>
      </c>
      <c r="K6" s="23">
        <f>Tabela25[[#This Row],[PREÇO PRATICADO]]*Tabela25[[#This Row],[LUCRO REAL %]]</f>
        <v>2.1922625199999999</v>
      </c>
      <c r="L6" s="24"/>
      <c r="M6" s="25">
        <f>IF(Tabela25[[#This Row],[QUANT. VENDA]]=0,0,((Tabela25[[#This Row],[CUSTO]]*Tabela25[[#This Row],[QUANT. VENDA]])/(Tabela25[[#This Row],[QUANT. VENDA]]*Tabela25[[#This Row],[PREÇO PRATICADO]])))</f>
        <v>0</v>
      </c>
      <c r="N6" s="26">
        <f>VLOOKUP(Tabela25[[#This Row],[CÓDIGO]],'[1]Estrutura Loja'!$B$3:$E$1825,4,0)</f>
        <v>8.8017374799999999</v>
      </c>
      <c r="O6" s="26">
        <f>Tabela25[[#This Row],[QUANT. VENDA]]*Tabela25[[#This Row],[PREÇO PRATICADO]]</f>
        <v>0</v>
      </c>
      <c r="P6" s="26">
        <f>Tabela25[[#This Row],[QUANT. VENDA]]*Tabela25[[#This Row],[CUSTO]]</f>
        <v>0</v>
      </c>
      <c r="Q6" s="27">
        <f>Tabela25[[#This Row],[CUSTO]]/Tabela25[[#This Row],[PREÇO PRATICADO]]</f>
        <v>0.38268423826086956</v>
      </c>
      <c r="S6" t="s">
        <v>24</v>
      </c>
    </row>
    <row r="7" spans="1:26" ht="15.75" customHeight="1" thickBot="1" x14ac:dyDescent="0.35">
      <c r="A7" s="17">
        <v>101400050</v>
      </c>
      <c r="B7" s="18">
        <v>1014</v>
      </c>
      <c r="C7" s="18" t="s">
        <v>21</v>
      </c>
      <c r="D7" s="19" t="s">
        <v>25</v>
      </c>
      <c r="E7" s="20">
        <v>27</v>
      </c>
      <c r="F7" s="20">
        <v>29</v>
      </c>
      <c r="G7" s="21">
        <f>VLOOKUP(Tabela25[[#This Row],[CÓDIGO]],'[1]Estrutura Loja'!$B$3:$M$2941,5,0)</f>
        <v>39.223771690647482</v>
      </c>
      <c r="H7" s="21">
        <f t="shared" si="0"/>
        <v>-12.223771690647482</v>
      </c>
      <c r="I7" s="20">
        <v>27</v>
      </c>
      <c r="J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7.4140424814814768E-2</v>
      </c>
      <c r="K7" s="23">
        <f>Tabela25[[#This Row],[PREÇO PRATICADO]]*Tabela25[[#This Row],[LUCRO REAL %]]</f>
        <v>2.0017914699999988</v>
      </c>
      <c r="L7" s="24"/>
      <c r="M7" s="25">
        <f>IF(Tabela25[[#This Row],[QUANT. VENDA]]=0,0,((Tabela25[[#This Row],[CUSTO]]*Tabela25[[#This Row],[QUANT. VENDA]])/(Tabela25[[#This Row],[QUANT. VENDA]]*Tabela25[[#This Row],[PREÇO PRATICADO]])))</f>
        <v>0</v>
      </c>
      <c r="N7" s="26">
        <f>VLOOKUP(Tabela25[[#This Row],[CÓDIGO]],'[1]Estrutura Loja'!$B$3:$E$1825,4,0)</f>
        <v>10.90420853</v>
      </c>
      <c r="O7" s="26">
        <f>Tabela25[[#This Row],[QUANT. VENDA]]*Tabela25[[#This Row],[PREÇO PRATICADO]]</f>
        <v>0</v>
      </c>
      <c r="P7" s="26">
        <f>Tabela25[[#This Row],[QUANT. VENDA]]*Tabela25[[#This Row],[CUSTO]]</f>
        <v>0</v>
      </c>
      <c r="Q7" s="27">
        <f>Tabela25[[#This Row],[CUSTO]]/Tabela25[[#This Row],[PREÇO PRATICADO]]</f>
        <v>0.40385957518518517</v>
      </c>
    </row>
    <row r="8" spans="1:26" ht="15.75" customHeight="1" x14ac:dyDescent="0.3">
      <c r="A8" s="17">
        <v>140000001</v>
      </c>
      <c r="B8" s="18">
        <v>1014</v>
      </c>
      <c r="C8" s="28" t="s">
        <v>21</v>
      </c>
      <c r="D8" s="19" t="s">
        <v>26</v>
      </c>
      <c r="E8" s="20">
        <v>2.5</v>
      </c>
      <c r="F8" s="20">
        <v>3</v>
      </c>
      <c r="G8" s="21">
        <f>VLOOKUP(Tabela25[[#This Row],[CÓDIGO]],'[1]Estrutura Loja'!$B$3:$M$2941,5,0)</f>
        <v>2.5537410071942444</v>
      </c>
      <c r="H8" s="21">
        <f t="shared" si="0"/>
        <v>-5.374100719424435E-2</v>
      </c>
      <c r="I8" s="20">
        <v>2.5</v>
      </c>
      <c r="J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0.19402399999999992</v>
      </c>
      <c r="K8" s="23">
        <f>Tabela25[[#This Row],[PREÇO PRATICADO]]*Tabela25[[#This Row],[LUCRO REAL %]]</f>
        <v>0.48505999999999982</v>
      </c>
      <c r="L8" s="24"/>
      <c r="M8" s="25">
        <f>IF(Tabela25[[#This Row],[QUANT. VENDA]]=0,0,((Tabela25[[#This Row],[CUSTO]]*Tabela25[[#This Row],[QUANT. VENDA]])/(Tabela25[[#This Row],[QUANT. VENDA]]*Tabela25[[#This Row],[PREÇO PRATICADO]])))</f>
        <v>0</v>
      </c>
      <c r="N8" s="26">
        <f>VLOOKUP(Tabela25[[#This Row],[CÓDIGO]],'[1]Estrutura Loja'!$B$3:$E$1825,4,0)</f>
        <v>0.70994000000000002</v>
      </c>
      <c r="O8" s="26">
        <f>Tabela25[[#This Row],[QUANT. VENDA]]*Tabela25[[#This Row],[PREÇO PRATICADO]]</f>
        <v>0</v>
      </c>
      <c r="P8" s="26">
        <f>Tabela25[[#This Row],[QUANT. VENDA]]*Tabela25[[#This Row],[CUSTO]]</f>
        <v>0</v>
      </c>
      <c r="Q8" s="27">
        <f>Tabela25[[#This Row],[CUSTO]]/Tabela25[[#This Row],[PREÇO PRATICADO]]</f>
        <v>0.28397600000000001</v>
      </c>
      <c r="S8" s="2" t="s">
        <v>1</v>
      </c>
      <c r="T8" s="3"/>
      <c r="V8" s="2" t="s">
        <v>2</v>
      </c>
      <c r="W8" s="3"/>
    </row>
    <row r="9" spans="1:26" ht="15.75" customHeight="1" thickBot="1" x14ac:dyDescent="0.35">
      <c r="A9" s="17">
        <v>140000002</v>
      </c>
      <c r="B9" s="18">
        <v>1014</v>
      </c>
      <c r="C9" s="28" t="s">
        <v>21</v>
      </c>
      <c r="D9" s="19" t="s">
        <v>27</v>
      </c>
      <c r="E9" s="20">
        <v>2</v>
      </c>
      <c r="F9" s="20">
        <v>2.5</v>
      </c>
      <c r="G9" s="21">
        <f>VLOOKUP(Tabela25[[#This Row],[CÓDIGO]],'[1]Estrutura Loja'!$B$3:$M$2941,5,0)</f>
        <v>1.8658273381294963</v>
      </c>
      <c r="H9" s="21">
        <f t="shared" si="0"/>
        <v>0.1341726618705037</v>
      </c>
      <c r="I9" s="20">
        <v>2</v>
      </c>
      <c r="J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0.21864999999999996</v>
      </c>
      <c r="K9" s="23">
        <f>Tabela25[[#This Row],[PREÇO PRATICADO]]*Tabela25[[#This Row],[LUCRO REAL %]]</f>
        <v>0.43729999999999991</v>
      </c>
      <c r="L9" s="24"/>
      <c r="M9" s="25">
        <f>IF(Tabela25[[#This Row],[QUANT. VENDA]]=0,0,((Tabela25[[#This Row],[CUSTO]]*Tabela25[[#This Row],[QUANT. VENDA]])/(Tabela25[[#This Row],[QUANT. VENDA]]*Tabela25[[#This Row],[PREÇO PRATICADO]])))</f>
        <v>0</v>
      </c>
      <c r="N9" s="26">
        <f>VLOOKUP(Tabela25[[#This Row],[CÓDIGO]],'[1]Estrutura Loja'!$B$3:$E$1825,4,0)</f>
        <v>0.51870000000000005</v>
      </c>
      <c r="O9" s="26">
        <f>Tabela25[[#This Row],[QUANT. VENDA]]*Tabela25[[#This Row],[PREÇO PRATICADO]]</f>
        <v>0</v>
      </c>
      <c r="P9" s="26">
        <f>Tabela25[[#This Row],[QUANT. VENDA]]*Tabela25[[#This Row],[CUSTO]]</f>
        <v>0</v>
      </c>
      <c r="Q9" s="27">
        <f>Tabela25[[#This Row],[CUSTO]]/Tabela25[[#This Row],[PREÇO PRATICADO]]</f>
        <v>0.25935000000000002</v>
      </c>
      <c r="S9" s="29">
        <v>0.28000000000000003</v>
      </c>
      <c r="T9" s="30"/>
      <c r="V9" s="31">
        <v>0.21</v>
      </c>
      <c r="W9" s="30"/>
    </row>
    <row r="10" spans="1:26" ht="15.75" customHeight="1" x14ac:dyDescent="0.3">
      <c r="A10" s="17">
        <v>140000003</v>
      </c>
      <c r="B10" s="18">
        <v>1014</v>
      </c>
      <c r="C10" s="28" t="s">
        <v>21</v>
      </c>
      <c r="D10" s="19" t="s">
        <v>28</v>
      </c>
      <c r="E10" s="20">
        <v>7.5</v>
      </c>
      <c r="F10" s="20">
        <v>8.5</v>
      </c>
      <c r="G10" s="21">
        <f>VLOOKUP(Tabela25[[#This Row],[CÓDIGO]],'[1]Estrutura Loja'!$B$3:$M$2941,5,0)</f>
        <v>7.5539568345323733</v>
      </c>
      <c r="H10" s="21">
        <f t="shared" si="0"/>
        <v>-5.3956834532373321E-2</v>
      </c>
      <c r="I10" s="20">
        <v>7.5</v>
      </c>
      <c r="J1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0.19799999999999998</v>
      </c>
      <c r="K10" s="23">
        <f>Tabela25[[#This Row],[PREÇO PRATICADO]]*Tabela25[[#This Row],[LUCRO REAL %]]</f>
        <v>1.4849999999999999</v>
      </c>
      <c r="L10" s="24"/>
      <c r="M10" s="25">
        <f>IF(Tabela25[[#This Row],[QUANT. VENDA]]=0,0,((Tabela25[[#This Row],[CUSTO]]*Tabela25[[#This Row],[QUANT. VENDA]])/(Tabela25[[#This Row],[QUANT. VENDA]]*Tabela25[[#This Row],[PREÇO PRATICADO]])))</f>
        <v>0</v>
      </c>
      <c r="N10" s="26">
        <f>VLOOKUP(Tabela25[[#This Row],[CÓDIGO]],'[1]Estrutura Loja'!$B$3:$E$1825,4,0)</f>
        <v>2.1</v>
      </c>
      <c r="O10" s="26">
        <f>Tabela25[[#This Row],[QUANT. VENDA]]*Tabela25[[#This Row],[PREÇO PRATICADO]]</f>
        <v>0</v>
      </c>
      <c r="P10" s="26">
        <f>Tabela25[[#This Row],[QUANT. VENDA]]*Tabela25[[#This Row],[CUSTO]]</f>
        <v>0</v>
      </c>
      <c r="Q10" s="27">
        <f>Tabela25[[#This Row],[CUSTO]]/Tabela25[[#This Row],[PREÇO PRATICADO]]</f>
        <v>0.28000000000000003</v>
      </c>
    </row>
    <row r="11" spans="1:26" ht="15.75" customHeight="1" x14ac:dyDescent="0.3">
      <c r="A11" s="17">
        <v>140000004</v>
      </c>
      <c r="B11" s="18">
        <v>1014</v>
      </c>
      <c r="C11" s="28" t="s">
        <v>21</v>
      </c>
      <c r="D11" s="19" t="s">
        <v>29</v>
      </c>
      <c r="E11" s="20">
        <v>9.5</v>
      </c>
      <c r="F11" s="20">
        <v>10.5</v>
      </c>
      <c r="G11" s="21">
        <f>VLOOKUP(Tabela25[[#This Row],[CÓDIGO]],'[1]Estrutura Loja'!$B$3:$M$2941,5,0)</f>
        <v>11.854676258992805</v>
      </c>
      <c r="H11" s="21">
        <f t="shared" si="0"/>
        <v>-2.3546762589928054</v>
      </c>
      <c r="I11" s="20">
        <v>9.5</v>
      </c>
      <c r="J1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0.13109473684210518</v>
      </c>
      <c r="K11" s="23">
        <f>Tabela25[[#This Row],[PREÇO PRATICADO]]*Tabela25[[#This Row],[LUCRO REAL %]]</f>
        <v>1.2453999999999992</v>
      </c>
      <c r="L11" s="24"/>
      <c r="M11" s="25">
        <f>IF(Tabela25[[#This Row],[QUANT. VENDA]]=0,0,((Tabela25[[#This Row],[CUSTO]]*Tabela25[[#This Row],[QUANT. VENDA]])/(Tabela25[[#This Row],[QUANT. VENDA]]*Tabela25[[#This Row],[PREÇO PRATICADO]])))</f>
        <v>0</v>
      </c>
      <c r="N11" s="26">
        <f>VLOOKUP(Tabela25[[#This Row],[CÓDIGO]],'[1]Estrutura Loja'!$B$3:$E$1825,4,0)</f>
        <v>3.2956000000000003</v>
      </c>
      <c r="O11" s="26">
        <f>Tabela25[[#This Row],[QUANT. VENDA]]*Tabela25[[#This Row],[PREÇO PRATICADO]]</f>
        <v>0</v>
      </c>
      <c r="P11" s="26">
        <f>Tabela25[[#This Row],[QUANT. VENDA]]*Tabela25[[#This Row],[CUSTO]]</f>
        <v>0</v>
      </c>
      <c r="Q11" s="27">
        <f>Tabela25[[#This Row],[CUSTO]]/Tabela25[[#This Row],[PREÇO PRATICADO]]</f>
        <v>0.34690526315789477</v>
      </c>
    </row>
    <row r="12" spans="1:26" ht="15.75" customHeight="1" x14ac:dyDescent="0.3">
      <c r="A12" s="17">
        <v>140000005</v>
      </c>
      <c r="B12" s="18">
        <v>1014</v>
      </c>
      <c r="C12" s="28" t="s">
        <v>21</v>
      </c>
      <c r="D12" s="19" t="s">
        <v>30</v>
      </c>
      <c r="E12" s="20">
        <v>4.5</v>
      </c>
      <c r="F12" s="20">
        <v>4.5</v>
      </c>
      <c r="G12" s="21">
        <f>VLOOKUP(Tabela25[[#This Row],[CÓDIGO]],'[1]Estrutura Loja'!$B$3:$M$2941,5,0)</f>
        <v>4.452757793764988</v>
      </c>
      <c r="H12" s="21">
        <f t="shared" si="0"/>
        <v>4.7242206235011963E-2</v>
      </c>
      <c r="I12" s="20">
        <v>4.5</v>
      </c>
      <c r="J1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0.20291851851851841</v>
      </c>
      <c r="K12" s="23">
        <f>Tabela25[[#This Row],[PREÇO PRATICADO]]*Tabela25[[#This Row],[LUCRO REAL %]]</f>
        <v>0.91313333333333291</v>
      </c>
      <c r="L12" s="24"/>
      <c r="M12" s="25">
        <f>IF(Tabela25[[#This Row],[QUANT. VENDA]]=0,0,((Tabela25[[#This Row],[CUSTO]]*Tabela25[[#This Row],[QUANT. VENDA]])/(Tabela25[[#This Row],[QUANT. VENDA]]*Tabela25[[#This Row],[PREÇO PRATICADO]])))</f>
        <v>0</v>
      </c>
      <c r="N12" s="26">
        <f>VLOOKUP(Tabela25[[#This Row],[CÓDIGO]],'[1]Estrutura Loja'!$B$3:$E$1825,4,0)</f>
        <v>1.2378666666666669</v>
      </c>
      <c r="O12" s="26">
        <f>Tabela25[[#This Row],[QUANT. VENDA]]*Tabela25[[#This Row],[PREÇO PRATICADO]]</f>
        <v>0</v>
      </c>
      <c r="P12" s="26">
        <f>Tabela25[[#This Row],[QUANT. VENDA]]*Tabela25[[#This Row],[CUSTO]]</f>
        <v>0</v>
      </c>
      <c r="Q12" s="27">
        <f>Tabela25[[#This Row],[CUSTO]]/Tabela25[[#This Row],[PREÇO PRATICADO]]</f>
        <v>0.27508148148148154</v>
      </c>
      <c r="S12" s="32"/>
      <c r="T12" s="32"/>
      <c r="U12" s="33"/>
    </row>
    <row r="13" spans="1:26" ht="15.75" customHeight="1" x14ac:dyDescent="0.3">
      <c r="A13" s="17">
        <v>140000006</v>
      </c>
      <c r="B13" s="18">
        <v>1014</v>
      </c>
      <c r="C13" s="18" t="s">
        <v>21</v>
      </c>
      <c r="D13" s="19" t="s">
        <v>31</v>
      </c>
      <c r="E13" s="20">
        <v>2.5</v>
      </c>
      <c r="F13" s="20">
        <v>3.5</v>
      </c>
      <c r="G13" s="21">
        <f>VLOOKUP(Tabela25[[#This Row],[CÓDIGO]],'[1]Estrutura Loja'!$B$3:$M$2941,5,0)</f>
        <v>2.4446185625756818</v>
      </c>
      <c r="H13" s="21">
        <f t="shared" si="0"/>
        <v>5.5381437424318225E-2</v>
      </c>
      <c r="I13" s="20">
        <v>2.5</v>
      </c>
      <c r="J1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0.20615841584158406</v>
      </c>
      <c r="K13" s="23">
        <f>Tabela25[[#This Row],[PREÇO PRATICADO]]*Tabela25[[#This Row],[LUCRO REAL %]]</f>
        <v>0.51539603960396019</v>
      </c>
      <c r="L13" s="24"/>
      <c r="M13" s="25">
        <f>IF(Tabela25[[#This Row],[QUANT. VENDA]]=0,0,((Tabela25[[#This Row],[CUSTO]]*Tabela25[[#This Row],[QUANT. VENDA]])/(Tabela25[[#This Row],[QUANT. VENDA]]*Tabela25[[#This Row],[PREÇO PRATICADO]])))</f>
        <v>0</v>
      </c>
      <c r="N13" s="26">
        <f>VLOOKUP(Tabela25[[#This Row],[CÓDIGO]],'[1]Estrutura Loja'!$B$3:$E$1825,4,0)</f>
        <v>0.67960396039603965</v>
      </c>
      <c r="O13" s="26">
        <f>Tabela25[[#This Row],[QUANT. VENDA]]*Tabela25[[#This Row],[PREÇO PRATICADO]]</f>
        <v>0</v>
      </c>
      <c r="P13" s="26">
        <f>Tabela25[[#This Row],[QUANT. VENDA]]*Tabela25[[#This Row],[CUSTO]]</f>
        <v>0</v>
      </c>
      <c r="Q13" s="27">
        <f>Tabela25[[#This Row],[CUSTO]]/Tabela25[[#This Row],[PREÇO PRATICADO]]</f>
        <v>0.27184158415841586</v>
      </c>
      <c r="S13" s="32"/>
      <c r="T13" s="32"/>
      <c r="U13" s="33"/>
    </row>
    <row r="14" spans="1:26" ht="15.75" customHeight="1" x14ac:dyDescent="0.3">
      <c r="A14" s="17">
        <v>140000007</v>
      </c>
      <c r="B14" s="18">
        <v>1014</v>
      </c>
      <c r="C14" s="28" t="s">
        <v>21</v>
      </c>
      <c r="D14" s="19" t="s">
        <v>32</v>
      </c>
      <c r="E14" s="20">
        <v>3</v>
      </c>
      <c r="F14" s="20">
        <v>4</v>
      </c>
      <c r="G14" s="21">
        <f>VLOOKUP(Tabela25[[#This Row],[CÓDIGO]],'[1]Estrutura Loja'!$B$3:$M$2941,5,0)</f>
        <v>3.3444220623501195</v>
      </c>
      <c r="H14" s="21">
        <f t="shared" si="0"/>
        <v>-0.34442206235011952</v>
      </c>
      <c r="I14" s="20">
        <v>3</v>
      </c>
      <c r="J1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0.16808355555555554</v>
      </c>
      <c r="K14" s="23">
        <f>Tabela25[[#This Row],[PREÇO PRATICADO]]*Tabela25[[#This Row],[LUCRO REAL %]]</f>
        <v>0.50425066666666662</v>
      </c>
      <c r="L14" s="24"/>
      <c r="M14" s="25">
        <f>IF(Tabela25[[#This Row],[QUANT. VENDA]]=0,0,((Tabela25[[#This Row],[CUSTO]]*Tabela25[[#This Row],[QUANT. VENDA]])/(Tabela25[[#This Row],[QUANT. VENDA]]*Tabela25[[#This Row],[PREÇO PRATICADO]])))</f>
        <v>0</v>
      </c>
      <c r="N14" s="26">
        <f>VLOOKUP(Tabela25[[#This Row],[CÓDIGO]],'[1]Estrutura Loja'!$B$3:$E$1825,4,0)</f>
        <v>0.92974933333333332</v>
      </c>
      <c r="O14" s="26">
        <f>Tabela25[[#This Row],[QUANT. VENDA]]*Tabela25[[#This Row],[PREÇO PRATICADO]]</f>
        <v>0</v>
      </c>
      <c r="P14" s="26">
        <f>Tabela25[[#This Row],[QUANT. VENDA]]*Tabela25[[#This Row],[CUSTO]]</f>
        <v>0</v>
      </c>
      <c r="Q14" s="27">
        <f>Tabela25[[#This Row],[CUSTO]]/Tabela25[[#This Row],[PREÇO PRATICADO]]</f>
        <v>0.30991644444444444</v>
      </c>
      <c r="S14" s="32"/>
      <c r="T14" s="32"/>
      <c r="U14" s="33"/>
    </row>
    <row r="15" spans="1:26" ht="15.75" customHeight="1" x14ac:dyDescent="0.3">
      <c r="A15" s="17">
        <v>140000008</v>
      </c>
      <c r="B15" s="18">
        <v>1014</v>
      </c>
      <c r="C15" s="34" t="str">
        <f>VLOOKUP(Tabela25[[#This Row],[GRUPO]],[1]Produto!H14:I363,2,0)</f>
        <v>Acai</v>
      </c>
      <c r="D15" s="35" t="s">
        <v>33</v>
      </c>
      <c r="E15" s="36">
        <v>5</v>
      </c>
      <c r="F15" s="36">
        <v>6</v>
      </c>
      <c r="G15" s="37">
        <f>VLOOKUP(Tabela25[[#This Row],[CÓDIGO]],'[1]Estrutura Loja'!$B$3:$M$2941,5,0)</f>
        <v>5.0537291685638834</v>
      </c>
      <c r="H15" s="37">
        <f t="shared" si="0"/>
        <v>-5.3729168563883434E-2</v>
      </c>
      <c r="I15" s="36">
        <v>5</v>
      </c>
      <c r="J1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0.19701265822784803</v>
      </c>
      <c r="K15" s="23">
        <f>Tabela25[[#This Row],[PREÇO PRATICADO]]*Tabela25[[#This Row],[LUCRO REAL %]]</f>
        <v>0.98506329113924007</v>
      </c>
      <c r="L15" s="38"/>
      <c r="M15" s="25">
        <f>IF(Tabela25[[#This Row],[QUANT. VENDA]]=0,0,((Tabela25[[#This Row],[CUSTO]]*Tabela25[[#This Row],[QUANT. VENDA]])/(Tabela25[[#This Row],[QUANT. VENDA]]*Tabela25[[#This Row],[PREÇO PRATICADO]])))</f>
        <v>0</v>
      </c>
      <c r="N15" s="26">
        <f>VLOOKUP(Tabela25[[#This Row],[CÓDIGO]],'[1]Estrutura Loja'!$B$3:$E$1825,4,0)</f>
        <v>1.4049367088607596</v>
      </c>
      <c r="O15" s="39">
        <f>Tabela25[[#This Row],[QUANT. VENDA]]*Tabela25[[#This Row],[PREÇO PRATICADO]]</f>
        <v>0</v>
      </c>
      <c r="P15" s="39">
        <f>Tabela25[[#This Row],[QUANT. VENDA]]*Tabela25[[#This Row],[CUSTO]]</f>
        <v>0</v>
      </c>
      <c r="Q15" s="27">
        <f>Tabela25[[#This Row],[CUSTO]]/Tabela25[[#This Row],[PREÇO PRATICADO]]</f>
        <v>0.2809873417721519</v>
      </c>
    </row>
    <row r="16" spans="1:26" ht="15.75" customHeight="1" x14ac:dyDescent="0.3">
      <c r="A16" s="17">
        <v>140000009</v>
      </c>
      <c r="B16" s="18">
        <v>1014</v>
      </c>
      <c r="C16" s="18" t="s">
        <v>21</v>
      </c>
      <c r="D16" s="19" t="s">
        <v>34</v>
      </c>
      <c r="E16" s="20">
        <v>7.5</v>
      </c>
      <c r="F16" s="20">
        <v>8.5</v>
      </c>
      <c r="G16" s="21">
        <f>VLOOKUP(Tabela25[[#This Row],[CÓDIGO]],'[1]Estrutura Loja'!$B$3:$M$2941,5,0)</f>
        <v>8.950359712230215</v>
      </c>
      <c r="H16" s="21">
        <f t="shared" si="0"/>
        <v>-1.450359712230215</v>
      </c>
      <c r="I16" s="20">
        <v>7.5</v>
      </c>
      <c r="J1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0.14624000000000001</v>
      </c>
      <c r="K16" s="23">
        <f>Tabela25[[#This Row],[PREÇO PRATICADO]]*Tabela25[[#This Row],[LUCRO REAL %]]</f>
        <v>1.0968</v>
      </c>
      <c r="L16" s="24"/>
      <c r="M16" s="25">
        <f>IF(Tabela25[[#This Row],[QUANT. VENDA]]=0,0,((Tabela25[[#This Row],[CUSTO]]*Tabela25[[#This Row],[QUANT. VENDA]])/(Tabela25[[#This Row],[QUANT. VENDA]]*Tabela25[[#This Row],[PREÇO PRATICADO]])))</f>
        <v>0</v>
      </c>
      <c r="N16" s="26">
        <f>VLOOKUP(Tabela25[[#This Row],[CÓDIGO]],'[1]Estrutura Loja'!$B$3:$E$1825,4,0)</f>
        <v>2.4882</v>
      </c>
      <c r="O16" s="26">
        <f>Tabela25[[#This Row],[QUANT. VENDA]]*Tabela25[[#This Row],[PREÇO PRATICADO]]</f>
        <v>0</v>
      </c>
      <c r="P16" s="26">
        <f>Tabela25[[#This Row],[QUANT. VENDA]]*Tabela25[[#This Row],[CUSTO]]</f>
        <v>0</v>
      </c>
      <c r="Q16" s="27">
        <f>Tabela25[[#This Row],[CUSTO]]/Tabela25[[#This Row],[PREÇO PRATICADO]]</f>
        <v>0.33176</v>
      </c>
      <c r="S16" s="32"/>
      <c r="T16" s="32"/>
      <c r="U16" s="33"/>
    </row>
    <row r="17" spans="1:21" ht="15.75" customHeight="1" x14ac:dyDescent="0.3">
      <c r="A17" s="17">
        <v>140000010</v>
      </c>
      <c r="B17" s="18">
        <v>1014</v>
      </c>
      <c r="C17" s="28" t="s">
        <v>21</v>
      </c>
      <c r="D17" s="19" t="s">
        <v>35</v>
      </c>
      <c r="E17" s="20">
        <v>5</v>
      </c>
      <c r="F17" s="20">
        <v>6</v>
      </c>
      <c r="G17" s="21">
        <f>VLOOKUP(Tabela25[[#This Row],[CÓDIGO]],'[1]Estrutura Loja'!$B$3:$M$2941,5,0)</f>
        <v>4.8098663926002043</v>
      </c>
      <c r="H17" s="21">
        <f t="shared" si="0"/>
        <v>0.19013360739979568</v>
      </c>
      <c r="I17" s="20">
        <v>5</v>
      </c>
      <c r="J1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0.21057142857142855</v>
      </c>
      <c r="K17" s="23">
        <f>Tabela25[[#This Row],[PREÇO PRATICADO]]*Tabela25[[#This Row],[LUCRO REAL %]]</f>
        <v>1.0528571428571427</v>
      </c>
      <c r="L17" s="24"/>
      <c r="M17" s="25">
        <f>IF(Tabela25[[#This Row],[QUANT. VENDA]]=0,0,((Tabela25[[#This Row],[CUSTO]]*Tabela25[[#This Row],[QUANT. VENDA]])/(Tabela25[[#This Row],[QUANT. VENDA]]*Tabela25[[#This Row],[PREÇO PRATICADO]])))</f>
        <v>0</v>
      </c>
      <c r="N17" s="26">
        <f>VLOOKUP(Tabela25[[#This Row],[CÓDIGO]],'[1]Estrutura Loja'!$B$3:$E$1825,4,0)</f>
        <v>1.337142857142857</v>
      </c>
      <c r="O17" s="26">
        <f>Tabela25[[#This Row],[QUANT. VENDA]]*Tabela25[[#This Row],[PREÇO PRATICADO]]</f>
        <v>0</v>
      </c>
      <c r="P17" s="26">
        <f>Tabela25[[#This Row],[QUANT. VENDA]]*Tabela25[[#This Row],[CUSTO]]</f>
        <v>0</v>
      </c>
      <c r="Q17" s="27">
        <f>Tabela25[[#This Row],[CUSTO]]/Tabela25[[#This Row],[PREÇO PRATICADO]]</f>
        <v>0.2674285714285714</v>
      </c>
      <c r="S17" s="32"/>
      <c r="T17" s="32"/>
      <c r="U17" s="33"/>
    </row>
    <row r="18" spans="1:21" ht="15.75" customHeight="1" x14ac:dyDescent="0.3">
      <c r="A18" s="17">
        <v>140000011</v>
      </c>
      <c r="B18" s="18">
        <v>1014</v>
      </c>
      <c r="C18" s="18" t="s">
        <v>21</v>
      </c>
      <c r="D18" s="19" t="s">
        <v>36</v>
      </c>
      <c r="E18" s="20">
        <v>2</v>
      </c>
      <c r="F18" s="20">
        <v>3</v>
      </c>
      <c r="G18" s="21">
        <f>VLOOKUP(Tabela25[[#This Row],[CÓDIGO]],'[1]Estrutura Loja'!$B$3:$M$2941,5,0)</f>
        <v>2.2509521273606108</v>
      </c>
      <c r="H18" s="21">
        <f t="shared" si="0"/>
        <v>-0.25095212736061079</v>
      </c>
      <c r="I18" s="20">
        <v>2</v>
      </c>
      <c r="J1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0.16511765429687503</v>
      </c>
      <c r="K18" s="23">
        <f>Tabela25[[#This Row],[PREÇO PRATICADO]]*Tabela25[[#This Row],[LUCRO REAL %]]</f>
        <v>0.33023530859375005</v>
      </c>
      <c r="L18" s="24"/>
      <c r="M18" s="25">
        <f>IF(Tabela25[[#This Row],[QUANT. VENDA]]=0,0,((Tabela25[[#This Row],[CUSTO]]*Tabela25[[#This Row],[QUANT. VENDA]])/(Tabela25[[#This Row],[QUANT. VENDA]]*Tabela25[[#This Row],[PREÇO PRATICADO]])))</f>
        <v>0</v>
      </c>
      <c r="N18" s="26">
        <f>VLOOKUP(Tabela25[[#This Row],[CÓDIGO]],'[1]Estrutura Loja'!$B$3:$E$1825,4,0)</f>
        <v>0.62576469140624991</v>
      </c>
      <c r="O18" s="26">
        <f>Tabela25[[#This Row],[QUANT. VENDA]]*Tabela25[[#This Row],[PREÇO PRATICADO]]</f>
        <v>0</v>
      </c>
      <c r="P18" s="26">
        <f>Tabela25[[#This Row],[QUANT. VENDA]]*Tabela25[[#This Row],[CUSTO]]</f>
        <v>0</v>
      </c>
      <c r="Q18" s="27">
        <f>Tabela25[[#This Row],[CUSTO]]/Tabela25[[#This Row],[PREÇO PRATICADO]]</f>
        <v>0.31288234570312495</v>
      </c>
    </row>
    <row r="19" spans="1:21" ht="15.75" customHeight="1" x14ac:dyDescent="0.3">
      <c r="A19" s="17">
        <v>140000012</v>
      </c>
      <c r="B19" s="18">
        <v>1014</v>
      </c>
      <c r="C19" s="28" t="s">
        <v>21</v>
      </c>
      <c r="D19" s="19" t="s">
        <v>37</v>
      </c>
      <c r="E19" s="20">
        <v>2.5</v>
      </c>
      <c r="F19" s="20">
        <v>3</v>
      </c>
      <c r="G19" s="21">
        <f>VLOOKUP(Tabela25[[#This Row],[CÓDIGO]],'[1]Estrutura Loja'!$B$3:$M$2941,5,0)</f>
        <v>2.3535746402877695</v>
      </c>
      <c r="H19" s="21">
        <f t="shared" si="0"/>
        <v>0.14642535971223047</v>
      </c>
      <c r="I19" s="20">
        <v>2.5</v>
      </c>
      <c r="J1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0.21628249999999993</v>
      </c>
      <c r="K19" s="23">
        <f>Tabela25[[#This Row],[PREÇO PRATICADO]]*Tabela25[[#This Row],[LUCRO REAL %]]</f>
        <v>0.54070624999999983</v>
      </c>
      <c r="L19" s="24"/>
      <c r="M19" s="25">
        <f>IF(Tabela25[[#This Row],[QUANT. VENDA]]=0,0,((Tabela25[[#This Row],[CUSTO]]*Tabela25[[#This Row],[QUANT. VENDA]])/(Tabela25[[#This Row],[QUANT. VENDA]]*Tabela25[[#This Row],[PREÇO PRATICADO]])))</f>
        <v>0</v>
      </c>
      <c r="N19" s="26">
        <f>VLOOKUP(Tabela25[[#This Row],[CÓDIGO]],'[1]Estrutura Loja'!$B$3:$E$1825,4,0)</f>
        <v>0.65429375000000001</v>
      </c>
      <c r="O19" s="26">
        <f>Tabela25[[#This Row],[QUANT. VENDA]]*Tabela25[[#This Row],[PREÇO PRATICADO]]</f>
        <v>0</v>
      </c>
      <c r="P19" s="26">
        <f>Tabela25[[#This Row],[QUANT. VENDA]]*Tabela25[[#This Row],[CUSTO]]</f>
        <v>0</v>
      </c>
      <c r="Q19" s="27">
        <f>Tabela25[[#This Row],[CUSTO]]/Tabela25[[#This Row],[PREÇO PRATICADO]]</f>
        <v>0.26171749999999999</v>
      </c>
    </row>
    <row r="20" spans="1:21" ht="15.75" customHeight="1" x14ac:dyDescent="0.3">
      <c r="A20" s="17">
        <v>140000013</v>
      </c>
      <c r="B20" s="18">
        <v>1014</v>
      </c>
      <c r="C20" s="28" t="s">
        <v>21</v>
      </c>
      <c r="D20" s="19" t="s">
        <v>38</v>
      </c>
      <c r="E20" s="20">
        <v>5</v>
      </c>
      <c r="F20" s="20">
        <v>5</v>
      </c>
      <c r="G20" s="21">
        <f>VLOOKUP(Tabela25[[#This Row],[CÓDIGO]],'[1]Estrutura Loja'!$B$3:$M$2941,5,0)</f>
        <v>4.0215827338129486</v>
      </c>
      <c r="H20" s="21">
        <f t="shared" si="0"/>
        <v>0.97841726618705138</v>
      </c>
      <c r="I20" s="20">
        <v>5</v>
      </c>
      <c r="J2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0.25439999999999996</v>
      </c>
      <c r="K20" s="23">
        <f>Tabela25[[#This Row],[PREÇO PRATICADO]]*Tabela25[[#This Row],[LUCRO REAL %]]</f>
        <v>1.2719999999999998</v>
      </c>
      <c r="L20" s="24"/>
      <c r="M20" s="25">
        <f>IF(Tabela25[[#This Row],[QUANT. VENDA]]=0,0,((Tabela25[[#This Row],[CUSTO]]*Tabela25[[#This Row],[QUANT. VENDA]])/(Tabela25[[#This Row],[QUANT. VENDA]]*Tabela25[[#This Row],[PREÇO PRATICADO]])))</f>
        <v>0</v>
      </c>
      <c r="N20" s="26">
        <f>VLOOKUP(Tabela25[[#This Row],[CÓDIGO]],'[1]Estrutura Loja'!$B$3:$E$1825,4,0)</f>
        <v>1.1179999999999999</v>
      </c>
      <c r="O20" s="26">
        <f>Tabela25[[#This Row],[QUANT. VENDA]]*Tabela25[[#This Row],[PREÇO PRATICADO]]</f>
        <v>0</v>
      </c>
      <c r="P20" s="26">
        <f>Tabela25[[#This Row],[QUANT. VENDA]]*Tabela25[[#This Row],[CUSTO]]</f>
        <v>0</v>
      </c>
      <c r="Q20" s="27">
        <f>Tabela25[[#This Row],[CUSTO]]/Tabela25[[#This Row],[PREÇO PRATICADO]]</f>
        <v>0.22359999999999997</v>
      </c>
      <c r="S20" s="33"/>
    </row>
    <row r="21" spans="1:21" ht="15.75" customHeight="1" x14ac:dyDescent="0.3">
      <c r="A21" s="17">
        <v>140000014</v>
      </c>
      <c r="B21" s="18">
        <v>1014</v>
      </c>
      <c r="C21" s="18" t="s">
        <v>21</v>
      </c>
      <c r="D21" s="19" t="s">
        <v>39</v>
      </c>
      <c r="E21" s="20">
        <v>6</v>
      </c>
      <c r="F21" s="20">
        <v>6</v>
      </c>
      <c r="G21" s="21">
        <f>VLOOKUP(Tabela25[[#This Row],[CÓDIGO]],'[1]Estrutura Loja'!$B$3:$M$2941,5,0)</f>
        <v>6.3777841726618698</v>
      </c>
      <c r="H21" s="21">
        <f t="shared" si="0"/>
        <v>-0.37778417266186981</v>
      </c>
      <c r="I21" s="20">
        <v>6</v>
      </c>
      <c r="J2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0.18249599999999999</v>
      </c>
      <c r="K21" s="23">
        <f>Tabela25[[#This Row],[PREÇO PRATICADO]]*Tabela25[[#This Row],[LUCRO REAL %]]</f>
        <v>1.0949759999999999</v>
      </c>
      <c r="L21" s="24"/>
      <c r="M21" s="25">
        <f>IF(Tabela25[[#This Row],[QUANT. VENDA]]=0,0,((Tabela25[[#This Row],[CUSTO]]*Tabela25[[#This Row],[QUANT. VENDA]])/(Tabela25[[#This Row],[QUANT. VENDA]]*Tabela25[[#This Row],[PREÇO PRATICADO]])))</f>
        <v>0</v>
      </c>
      <c r="N21" s="26">
        <f>VLOOKUP(Tabela25[[#This Row],[CÓDIGO]],'[1]Estrutura Loja'!$B$3:$E$1825,4,0)</f>
        <v>1.7730239999999999</v>
      </c>
      <c r="O21" s="26">
        <f>Tabela25[[#This Row],[QUANT. VENDA]]*Tabela25[[#This Row],[PREÇO PRATICADO]]</f>
        <v>0</v>
      </c>
      <c r="P21" s="26">
        <f>Tabela25[[#This Row],[QUANT. VENDA]]*Tabela25[[#This Row],[CUSTO]]</f>
        <v>0</v>
      </c>
      <c r="Q21" s="27">
        <f>Tabela25[[#This Row],[CUSTO]]/Tabela25[[#This Row],[PREÇO PRATICADO]]</f>
        <v>0.29550399999999999</v>
      </c>
    </row>
    <row r="22" spans="1:21" ht="15.75" customHeight="1" x14ac:dyDescent="0.3">
      <c r="A22" s="17">
        <v>140000015</v>
      </c>
      <c r="B22" s="18">
        <v>1014</v>
      </c>
      <c r="C22" s="28" t="s">
        <v>21</v>
      </c>
      <c r="D22" s="19" t="s">
        <v>40</v>
      </c>
      <c r="E22" s="20">
        <v>5</v>
      </c>
      <c r="F22" s="20">
        <v>6</v>
      </c>
      <c r="G22" s="21">
        <f>VLOOKUP(Tabela25[[#This Row],[CÓDIGO]],'[1]Estrutura Loja'!$B$3:$M$2941,5,0)</f>
        <v>5.5936611686260749</v>
      </c>
      <c r="H22" s="21">
        <f t="shared" si="0"/>
        <v>-0.59366116862607488</v>
      </c>
      <c r="I22" s="20">
        <v>5</v>
      </c>
      <c r="J2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0.16699243902439015</v>
      </c>
      <c r="K22" s="23">
        <f>Tabela25[[#This Row],[PREÇO PRATICADO]]*Tabela25[[#This Row],[LUCRO REAL %]]</f>
        <v>0.8349621951219508</v>
      </c>
      <c r="L22" s="24"/>
      <c r="M22" s="25">
        <f>IF(Tabela25[[#This Row],[QUANT. VENDA]]=0,0,((Tabela25[[#This Row],[CUSTO]]*Tabela25[[#This Row],[QUANT. VENDA]])/(Tabela25[[#This Row],[QUANT. VENDA]]*Tabela25[[#This Row],[PREÇO PRATICADO]])))</f>
        <v>0</v>
      </c>
      <c r="N22" s="26">
        <f>VLOOKUP(Tabela25[[#This Row],[CÓDIGO]],'[1]Estrutura Loja'!$B$3:$E$1825,4,0)</f>
        <v>1.5550378048780489</v>
      </c>
      <c r="O22" s="26">
        <f>Tabela25[[#This Row],[QUANT. VENDA]]*Tabela25[[#This Row],[PREÇO PRATICADO]]</f>
        <v>0</v>
      </c>
      <c r="P22" s="26">
        <f>Tabela25[[#This Row],[QUANT. VENDA]]*Tabela25[[#This Row],[CUSTO]]</f>
        <v>0</v>
      </c>
      <c r="Q22" s="27">
        <f>Tabela25[[#This Row],[CUSTO]]/Tabela25[[#This Row],[PREÇO PRATICADO]]</f>
        <v>0.31100756097560978</v>
      </c>
      <c r="T22" s="32"/>
    </row>
    <row r="23" spans="1:21" ht="15.75" customHeight="1" x14ac:dyDescent="0.3">
      <c r="A23" s="17">
        <v>140000016</v>
      </c>
      <c r="B23" s="18">
        <v>1014</v>
      </c>
      <c r="C23" s="28" t="s">
        <v>21</v>
      </c>
      <c r="D23" s="19" t="s">
        <v>41</v>
      </c>
      <c r="E23" s="20">
        <v>6</v>
      </c>
      <c r="F23" s="20">
        <v>7</v>
      </c>
      <c r="G23" s="21">
        <f>VLOOKUP(Tabela25[[#This Row],[CÓDIGO]],'[1]Estrutura Loja'!$B$3:$M$2941,5,0)</f>
        <v>6.1021758203193537</v>
      </c>
      <c r="H23" s="21">
        <f t="shared" si="0"/>
        <v>-0.10217582031935368</v>
      </c>
      <c r="I23" s="20">
        <v>6</v>
      </c>
      <c r="J2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0.19526585365853655</v>
      </c>
      <c r="K23" s="23">
        <f>Tabela25[[#This Row],[PREÇO PRATICADO]]*Tabela25[[#This Row],[LUCRO REAL %]]</f>
        <v>1.1715951219512193</v>
      </c>
      <c r="L23" s="24"/>
      <c r="M23" s="25">
        <f>IF(Tabela25[[#This Row],[QUANT. VENDA]]=0,0,((Tabela25[[#This Row],[CUSTO]]*Tabela25[[#This Row],[QUANT. VENDA]])/(Tabela25[[#This Row],[QUANT. VENDA]]*Tabela25[[#This Row],[PREÇO PRATICADO]])))</f>
        <v>0</v>
      </c>
      <c r="N23" s="26">
        <f>VLOOKUP(Tabela25[[#This Row],[CÓDIGO]],'[1]Estrutura Loja'!$B$3:$E$1825,4,0)</f>
        <v>1.6964048780487806</v>
      </c>
      <c r="O23" s="26">
        <f>Tabela25[[#This Row],[QUANT. VENDA]]*Tabela25[[#This Row],[PREÇO PRATICADO]]</f>
        <v>0</v>
      </c>
      <c r="P23" s="26">
        <f>Tabela25[[#This Row],[QUANT. VENDA]]*Tabela25[[#This Row],[CUSTO]]</f>
        <v>0</v>
      </c>
      <c r="Q23" s="27">
        <f>Tabela25[[#This Row],[CUSTO]]/Tabela25[[#This Row],[PREÇO PRATICADO]]</f>
        <v>0.28273414634146343</v>
      </c>
    </row>
    <row r="24" spans="1:21" ht="15.75" customHeight="1" x14ac:dyDescent="0.3">
      <c r="A24" s="17">
        <v>140000017</v>
      </c>
      <c r="B24" s="18">
        <v>1014</v>
      </c>
      <c r="C24" s="18" t="s">
        <v>21</v>
      </c>
      <c r="D24" s="19" t="s">
        <v>42</v>
      </c>
      <c r="E24" s="20">
        <v>6</v>
      </c>
      <c r="F24" s="20">
        <v>7</v>
      </c>
      <c r="G24" s="21">
        <f>VLOOKUP(Tabela25[[#This Row],[CÓDIGO]],'[1]Estrutura Loja'!$B$3:$M$2941,5,0)</f>
        <v>7.0269345499210383</v>
      </c>
      <c r="H24" s="21">
        <f t="shared" si="0"/>
        <v>-1.0269345499210383</v>
      </c>
      <c r="I24" s="20">
        <v>6</v>
      </c>
      <c r="J2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0.15241869918699183</v>
      </c>
      <c r="K24" s="23">
        <f>Tabela25[[#This Row],[PREÇO PRATICADO]]*Tabela25[[#This Row],[LUCRO REAL %]]</f>
        <v>0.91451219512195103</v>
      </c>
      <c r="L24" s="24"/>
      <c r="M24" s="25">
        <f>IF(Tabela25[[#This Row],[QUANT. VENDA]]=0,0,((Tabela25[[#This Row],[CUSTO]]*Tabela25[[#This Row],[QUANT. VENDA]])/(Tabela25[[#This Row],[QUANT. VENDA]]*Tabela25[[#This Row],[PREÇO PRATICADO]])))</f>
        <v>0</v>
      </c>
      <c r="N24" s="26">
        <f>VLOOKUP(Tabela25[[#This Row],[CÓDIGO]],'[1]Estrutura Loja'!$B$3:$E$1825,4,0)</f>
        <v>1.9534878048780489</v>
      </c>
      <c r="O24" s="26">
        <f>Tabela25[[#This Row],[QUANT. VENDA]]*Tabela25[[#This Row],[PREÇO PRATICADO]]</f>
        <v>0</v>
      </c>
      <c r="P24" s="26">
        <f>Tabela25[[#This Row],[QUANT. VENDA]]*Tabela25[[#This Row],[CUSTO]]</f>
        <v>0</v>
      </c>
      <c r="Q24" s="27">
        <f>Tabela25[[#This Row],[CUSTO]]/Tabela25[[#This Row],[PREÇO PRATICADO]]</f>
        <v>0.32558130081300812</v>
      </c>
    </row>
    <row r="25" spans="1:21" ht="15.75" customHeight="1" x14ac:dyDescent="0.3">
      <c r="A25" s="17">
        <v>140000018</v>
      </c>
      <c r="B25" s="18">
        <v>1014</v>
      </c>
      <c r="C25" s="18" t="s">
        <v>21</v>
      </c>
      <c r="D25" s="19" t="s">
        <v>43</v>
      </c>
      <c r="E25" s="20">
        <v>7.5</v>
      </c>
      <c r="F25" s="20">
        <v>8.5</v>
      </c>
      <c r="G25" s="21">
        <f>VLOOKUP(Tabela25[[#This Row],[CÓDIGO]],'[1]Estrutura Loja'!$B$3:$M$2941,5,0)</f>
        <v>7.5092805755395657</v>
      </c>
      <c r="H25" s="21">
        <f t="shared" si="0"/>
        <v>-9.2805755395657386E-3</v>
      </c>
      <c r="I25" s="20">
        <v>7.5</v>
      </c>
      <c r="J2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0.19965600000000006</v>
      </c>
      <c r="K25" s="23">
        <f>Tabela25[[#This Row],[PREÇO PRATICADO]]*Tabela25[[#This Row],[LUCRO REAL %]]</f>
        <v>1.4974200000000004</v>
      </c>
      <c r="L25" s="24"/>
      <c r="M25" s="25">
        <f>IF(Tabela25[[#This Row],[QUANT. VENDA]]=0,0,((Tabela25[[#This Row],[CUSTO]]*Tabela25[[#This Row],[QUANT. VENDA]])/(Tabela25[[#This Row],[QUANT. VENDA]]*Tabela25[[#This Row],[PREÇO PRATICADO]])))</f>
        <v>0</v>
      </c>
      <c r="N25" s="26">
        <f>VLOOKUP(Tabela25[[#This Row],[CÓDIGO]],'[1]Estrutura Loja'!$B$3:$E$1825,4,0)</f>
        <v>2.0875799999999995</v>
      </c>
      <c r="O25" s="26">
        <f>Tabela25[[#This Row],[QUANT. VENDA]]*Tabela25[[#This Row],[PREÇO PRATICADO]]</f>
        <v>0</v>
      </c>
      <c r="P25" s="26">
        <f>Tabela25[[#This Row],[QUANT. VENDA]]*Tabela25[[#This Row],[CUSTO]]</f>
        <v>0</v>
      </c>
      <c r="Q25" s="27">
        <f>Tabela25[[#This Row],[CUSTO]]/Tabela25[[#This Row],[PREÇO PRATICADO]]</f>
        <v>0.27834399999999992</v>
      </c>
    </row>
    <row r="26" spans="1:21" ht="15.75" customHeight="1" x14ac:dyDescent="0.3">
      <c r="A26" s="17">
        <v>140000019</v>
      </c>
      <c r="B26" s="18">
        <v>1014</v>
      </c>
      <c r="C26" s="28" t="s">
        <v>21</v>
      </c>
      <c r="D26" s="19" t="s">
        <v>44</v>
      </c>
      <c r="E26" s="20">
        <v>4</v>
      </c>
      <c r="F26" s="20">
        <v>5</v>
      </c>
      <c r="G26" s="21">
        <f>VLOOKUP(Tabela25[[#This Row],[CÓDIGO]],'[1]Estrutura Loja'!$B$3:$M$2941,5,0)</f>
        <v>3.43478167960681</v>
      </c>
      <c r="H26" s="21">
        <f t="shared" si="0"/>
        <v>0.56521832039318998</v>
      </c>
      <c r="I26" s="20">
        <v>4</v>
      </c>
      <c r="J2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0.23928267326732666</v>
      </c>
      <c r="K26" s="23">
        <f>Tabela25[[#This Row],[PREÇO PRATICADO]]*Tabela25[[#This Row],[LUCRO REAL %]]</f>
        <v>0.95713069306930665</v>
      </c>
      <c r="L26" s="24"/>
      <c r="M26" s="25">
        <f>IF(Tabela25[[#This Row],[QUANT. VENDA]]=0,0,((Tabela25[[#This Row],[CUSTO]]*Tabela25[[#This Row],[QUANT. VENDA]])/(Tabela25[[#This Row],[QUANT. VENDA]]*Tabela25[[#This Row],[PREÇO PRATICADO]])))</f>
        <v>0</v>
      </c>
      <c r="N26" s="26">
        <f>VLOOKUP(Tabela25[[#This Row],[CÓDIGO]],'[1]Estrutura Loja'!$B$3:$E$1825,4,0)</f>
        <v>0.95486930693069327</v>
      </c>
      <c r="O26" s="26">
        <f>Tabela25[[#This Row],[QUANT. VENDA]]*Tabela25[[#This Row],[PREÇO PRATICADO]]</f>
        <v>0</v>
      </c>
      <c r="P26" s="26">
        <f>Tabela25[[#This Row],[QUANT. VENDA]]*Tabela25[[#This Row],[CUSTO]]</f>
        <v>0</v>
      </c>
      <c r="Q26" s="27">
        <f>Tabela25[[#This Row],[CUSTO]]/Tabela25[[#This Row],[PREÇO PRATICADO]]</f>
        <v>0.23871732673267332</v>
      </c>
    </row>
    <row r="27" spans="1:21" ht="15.75" customHeight="1" x14ac:dyDescent="0.3">
      <c r="A27" s="17">
        <v>140000020</v>
      </c>
      <c r="B27" s="18">
        <v>1014</v>
      </c>
      <c r="C27" s="18" t="s">
        <v>21</v>
      </c>
      <c r="D27" s="19" t="s">
        <v>45</v>
      </c>
      <c r="E27" s="20">
        <v>3</v>
      </c>
      <c r="F27" s="20">
        <v>3.5</v>
      </c>
      <c r="G27" s="21">
        <f>VLOOKUP(Tabela25[[#This Row],[CÓDIGO]],'[1]Estrutura Loja'!$B$3:$M$2941,5,0)</f>
        <v>2.9810791366906479</v>
      </c>
      <c r="H27" s="21">
        <f t="shared" si="0"/>
        <v>1.8920863309352054E-2</v>
      </c>
      <c r="I27" s="20">
        <v>3</v>
      </c>
      <c r="J2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0.20175333333333326</v>
      </c>
      <c r="K27" s="23">
        <f>Tabela25[[#This Row],[PREÇO PRATICADO]]*Tabela25[[#This Row],[LUCRO REAL %]]</f>
        <v>0.6052599999999998</v>
      </c>
      <c r="L27" s="24"/>
      <c r="M27" s="25">
        <f>IF(Tabela25[[#This Row],[QUANT. VENDA]]=0,0,((Tabela25[[#This Row],[CUSTO]]*Tabela25[[#This Row],[QUANT. VENDA]])/(Tabela25[[#This Row],[QUANT. VENDA]]*Tabela25[[#This Row],[PREÇO PRATICADO]])))</f>
        <v>0</v>
      </c>
      <c r="N27" s="26">
        <f>VLOOKUP(Tabela25[[#This Row],[CÓDIGO]],'[1]Estrutura Loja'!$B$3:$E$1825,4,0)</f>
        <v>0.82874000000000014</v>
      </c>
      <c r="O27" s="26">
        <f>Tabela25[[#This Row],[QUANT. VENDA]]*Tabela25[[#This Row],[PREÇO PRATICADO]]</f>
        <v>0</v>
      </c>
      <c r="P27" s="26">
        <f>Tabela25[[#This Row],[QUANT. VENDA]]*Tabela25[[#This Row],[CUSTO]]</f>
        <v>0</v>
      </c>
      <c r="Q27" s="27">
        <f>Tabela25[[#This Row],[CUSTO]]/Tabela25[[#This Row],[PREÇO PRATICADO]]</f>
        <v>0.2762466666666667</v>
      </c>
    </row>
    <row r="28" spans="1:21" ht="15.75" customHeight="1" x14ac:dyDescent="0.3">
      <c r="A28" s="17">
        <v>140000021</v>
      </c>
      <c r="B28" s="18">
        <v>1014</v>
      </c>
      <c r="C28" s="18" t="s">
        <v>21</v>
      </c>
      <c r="D28" s="19" t="s">
        <v>46</v>
      </c>
      <c r="E28" s="20">
        <v>4.5</v>
      </c>
      <c r="F28" s="20">
        <v>5.5</v>
      </c>
      <c r="G28" s="21">
        <f>VLOOKUP(Tabela25[[#This Row],[CÓDIGO]],'[1]Estrutura Loja'!$B$3:$M$2941,5,0)</f>
        <v>4.63207726618705</v>
      </c>
      <c r="H28" s="21">
        <f t="shared" si="0"/>
        <v>-0.13207726618704996</v>
      </c>
      <c r="I28" s="20">
        <v>4.5</v>
      </c>
      <c r="J2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0.19184055999999997</v>
      </c>
      <c r="K28" s="23">
        <f>Tabela25[[#This Row],[PREÇO PRATICADO]]*Tabela25[[#This Row],[LUCRO REAL %]]</f>
        <v>0.86328251999999983</v>
      </c>
      <c r="L28" s="24"/>
      <c r="M28" s="25">
        <f>IF(Tabela25[[#This Row],[QUANT. VENDA]]=0,0,((Tabela25[[#This Row],[CUSTO]]*Tabela25[[#This Row],[QUANT. VENDA]])/(Tabela25[[#This Row],[QUANT. VENDA]]*Tabela25[[#This Row],[PREÇO PRATICADO]])))</f>
        <v>0</v>
      </c>
      <c r="N28" s="26">
        <f>VLOOKUP(Tabela25[[#This Row],[CÓDIGO]],'[1]Estrutura Loja'!$B$3:$E$1825,4,0)</f>
        <v>1.28771748</v>
      </c>
      <c r="O28" s="26">
        <f>Tabela25[[#This Row],[QUANT. VENDA]]*Tabela25[[#This Row],[PREÇO PRATICADO]]</f>
        <v>0</v>
      </c>
      <c r="P28" s="26">
        <f>Tabela25[[#This Row],[QUANT. VENDA]]*Tabela25[[#This Row],[CUSTO]]</f>
        <v>0</v>
      </c>
      <c r="Q28" s="27">
        <f>Tabela25[[#This Row],[CUSTO]]/Tabela25[[#This Row],[PREÇO PRATICADO]]</f>
        <v>0.28615943999999999</v>
      </c>
      <c r="R28" s="32"/>
    </row>
    <row r="29" spans="1:21" ht="15.75" customHeight="1" x14ac:dyDescent="0.3">
      <c r="A29" s="17">
        <v>140000022</v>
      </c>
      <c r="B29" s="18">
        <v>1014</v>
      </c>
      <c r="C29" s="18" t="s">
        <v>21</v>
      </c>
      <c r="D29" s="19" t="s">
        <v>47</v>
      </c>
      <c r="E29" s="20">
        <v>9</v>
      </c>
      <c r="F29" s="20">
        <v>11</v>
      </c>
      <c r="G29" s="21">
        <f>VLOOKUP(Tabela25[[#This Row],[CÓDIGO]],'[1]Estrutura Loja'!$B$3:$M$2941,5,0)</f>
        <v>9.1255683453237406</v>
      </c>
      <c r="H29" s="21">
        <f t="shared" si="0"/>
        <v>-0.12556834532374062</v>
      </c>
      <c r="I29" s="20">
        <v>9</v>
      </c>
      <c r="J2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0.19612133333333329</v>
      </c>
      <c r="K29" s="23">
        <f>Tabela25[[#This Row],[PREÇO PRATICADO]]*Tabela25[[#This Row],[LUCRO REAL %]]</f>
        <v>1.7650919999999997</v>
      </c>
      <c r="L29" s="24"/>
      <c r="M29" s="25">
        <f>IF(Tabela25[[#This Row],[QUANT. VENDA]]=0,0,((Tabela25[[#This Row],[CUSTO]]*Tabela25[[#This Row],[QUANT. VENDA]])/(Tabela25[[#This Row],[QUANT. VENDA]]*Tabela25[[#This Row],[PREÇO PRATICADO]])))</f>
        <v>0</v>
      </c>
      <c r="N29" s="26">
        <f>VLOOKUP(Tabela25[[#This Row],[CÓDIGO]],'[1]Estrutura Loja'!$B$3:$E$1825,4,0)</f>
        <v>2.5369079999999999</v>
      </c>
      <c r="O29" s="26">
        <f>Tabela25[[#This Row],[QUANT. VENDA]]*Tabela25[[#This Row],[PREÇO PRATICADO]]</f>
        <v>0</v>
      </c>
      <c r="P29" s="26">
        <f>Tabela25[[#This Row],[QUANT. VENDA]]*Tabela25[[#This Row],[CUSTO]]</f>
        <v>0</v>
      </c>
      <c r="Q29" s="27">
        <f>Tabela25[[#This Row],[CUSTO]]/Tabela25[[#This Row],[PREÇO PRATICADO]]</f>
        <v>0.28187866666666667</v>
      </c>
    </row>
    <row r="30" spans="1:21" ht="15.75" customHeight="1" x14ac:dyDescent="0.3">
      <c r="A30" s="17">
        <v>140000023</v>
      </c>
      <c r="B30" s="18">
        <v>1014</v>
      </c>
      <c r="C30" s="18" t="s">
        <v>21</v>
      </c>
      <c r="D30" s="19" t="s">
        <v>48</v>
      </c>
      <c r="E30" s="20">
        <v>1</v>
      </c>
      <c r="F30" s="20">
        <v>1.5</v>
      </c>
      <c r="G30" s="21">
        <f>VLOOKUP(Tabela25[[#This Row],[CÓDIGO]],'[1]Estrutura Loja'!$B$3:$M$2941,5,0)</f>
        <v>0.8150719424460432</v>
      </c>
      <c r="H30" s="21">
        <f t="shared" si="0"/>
        <v>0.1849280575539568</v>
      </c>
      <c r="I30" s="20">
        <v>1</v>
      </c>
      <c r="J3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0.25140999999999997</v>
      </c>
      <c r="K30" s="23">
        <f>Tabela25[[#This Row],[PREÇO PRATICADO]]*Tabela25[[#This Row],[LUCRO REAL %]]</f>
        <v>0.25140999999999997</v>
      </c>
      <c r="L30" s="24"/>
      <c r="M30" s="25">
        <f>IF(Tabela25[[#This Row],[QUANT. VENDA]]=0,0,((Tabela25[[#This Row],[CUSTO]]*Tabela25[[#This Row],[QUANT. VENDA]])/(Tabela25[[#This Row],[QUANT. VENDA]]*Tabela25[[#This Row],[PREÇO PRATICADO]])))</f>
        <v>0</v>
      </c>
      <c r="N30" s="26">
        <f>VLOOKUP(Tabela25[[#This Row],[CÓDIGO]],'[1]Estrutura Loja'!$B$3:$E$1825,4,0)</f>
        <v>0.22659000000000001</v>
      </c>
      <c r="O30" s="26">
        <f>Tabela25[[#This Row],[QUANT. VENDA]]*Tabela25[[#This Row],[PREÇO PRATICADO]]</f>
        <v>0</v>
      </c>
      <c r="P30" s="26">
        <f>Tabela25[[#This Row],[QUANT. VENDA]]*Tabela25[[#This Row],[CUSTO]]</f>
        <v>0</v>
      </c>
      <c r="Q30" s="27">
        <f>Tabela25[[#This Row],[CUSTO]]/Tabela25[[#This Row],[PREÇO PRATICADO]]</f>
        <v>0.22659000000000001</v>
      </c>
      <c r="R30" s="40"/>
      <c r="S30" s="40"/>
      <c r="T30" s="40"/>
    </row>
    <row r="31" spans="1:21" ht="15.75" customHeight="1" x14ac:dyDescent="0.3">
      <c r="A31" s="17">
        <v>140000024</v>
      </c>
      <c r="B31" s="18">
        <v>1014</v>
      </c>
      <c r="C31" s="28" t="s">
        <v>21</v>
      </c>
      <c r="D31" s="19" t="s">
        <v>49</v>
      </c>
      <c r="E31" s="20">
        <v>3.5</v>
      </c>
      <c r="F31" s="20">
        <v>3.5</v>
      </c>
      <c r="G31" s="21">
        <f>VLOOKUP(Tabela25[[#This Row],[CÓDIGO]],'[1]Estrutura Loja'!$B$3:$M$2941,5,0)</f>
        <v>3.2493525179856118</v>
      </c>
      <c r="H31" s="21">
        <f t="shared" si="0"/>
        <v>0.25064748201438825</v>
      </c>
      <c r="I31" s="20">
        <v>3.5</v>
      </c>
      <c r="J3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0.2199085714285714</v>
      </c>
      <c r="K31" s="23">
        <f>Tabela25[[#This Row],[PREÇO PRATICADO]]*Tabela25[[#This Row],[LUCRO REAL %]]</f>
        <v>0.76967999999999992</v>
      </c>
      <c r="L31" s="24"/>
      <c r="M31" s="25">
        <f>IF(Tabela25[[#This Row],[QUANT. VENDA]]=0,0,((Tabela25[[#This Row],[CUSTO]]*Tabela25[[#This Row],[QUANT. VENDA]])/(Tabela25[[#This Row],[QUANT. VENDA]]*Tabela25[[#This Row],[PREÇO PRATICADO]])))</f>
        <v>0</v>
      </c>
      <c r="N31" s="26">
        <f>VLOOKUP(Tabela25[[#This Row],[CÓDIGO]],'[1]Estrutura Loja'!$B$3:$E$1825,4,0)</f>
        <v>0.90332000000000012</v>
      </c>
      <c r="O31" s="26">
        <f>Tabela25[[#This Row],[QUANT. VENDA]]*Tabela25[[#This Row],[PREÇO PRATICADO]]</f>
        <v>0</v>
      </c>
      <c r="P31" s="26">
        <f>Tabela25[[#This Row],[QUANT. VENDA]]*Tabela25[[#This Row],[CUSTO]]</f>
        <v>0</v>
      </c>
      <c r="Q31" s="27">
        <f>Tabela25[[#This Row],[CUSTO]]/Tabela25[[#This Row],[PREÇO PRATICADO]]</f>
        <v>0.25809142857142858</v>
      </c>
      <c r="R31" s="41"/>
      <c r="S31" s="41"/>
      <c r="T31" s="40"/>
    </row>
    <row r="32" spans="1:21" ht="15.75" customHeight="1" x14ac:dyDescent="0.3">
      <c r="A32" s="17">
        <v>140000025</v>
      </c>
      <c r="B32" s="18">
        <v>1014</v>
      </c>
      <c r="C32" s="18" t="s">
        <v>21</v>
      </c>
      <c r="D32" s="19" t="s">
        <v>50</v>
      </c>
      <c r="E32" s="20">
        <v>7.5</v>
      </c>
      <c r="F32" s="20">
        <v>7.5</v>
      </c>
      <c r="G32" s="21">
        <f>VLOOKUP(Tabela25[[#This Row],[CÓDIGO]],'[1]Estrutura Loja'!$B$3:$M$2941,5,0)</f>
        <v>7.5876258992805754</v>
      </c>
      <c r="H32" s="21">
        <f t="shared" si="0"/>
        <v>-8.7625899280575403E-2</v>
      </c>
      <c r="I32" s="20">
        <v>7.5</v>
      </c>
      <c r="J3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0.19675199999999998</v>
      </c>
      <c r="K32" s="23">
        <f>Tabela25[[#This Row],[PREÇO PRATICADO]]*Tabela25[[#This Row],[LUCRO REAL %]]</f>
        <v>1.4756399999999998</v>
      </c>
      <c r="L32" s="24"/>
      <c r="M32" s="25">
        <f>IF(Tabela25[[#This Row],[QUANT. VENDA]]=0,0,((Tabela25[[#This Row],[CUSTO]]*Tabela25[[#This Row],[QUANT. VENDA]])/(Tabela25[[#This Row],[QUANT. VENDA]]*Tabela25[[#This Row],[PREÇO PRATICADO]])))</f>
        <v>0</v>
      </c>
      <c r="N32" s="26">
        <f>VLOOKUP(Tabela25[[#This Row],[CÓDIGO]],'[1]Estrutura Loja'!$B$3:$E$1825,4,0)</f>
        <v>2.1093600000000001</v>
      </c>
      <c r="O32" s="26">
        <f>Tabela25[[#This Row],[QUANT. VENDA]]*Tabela25[[#This Row],[PREÇO PRATICADO]]</f>
        <v>0</v>
      </c>
      <c r="P32" s="26">
        <f>Tabela25[[#This Row],[QUANT. VENDA]]*Tabela25[[#This Row],[CUSTO]]</f>
        <v>0</v>
      </c>
      <c r="Q32" s="27">
        <f>Tabela25[[#This Row],[CUSTO]]/Tabela25[[#This Row],[PREÇO PRATICADO]]</f>
        <v>0.281248</v>
      </c>
      <c r="R32" s="40"/>
      <c r="S32" s="40"/>
      <c r="T32" s="40"/>
    </row>
    <row r="33" spans="1:20" ht="15.75" customHeight="1" x14ac:dyDescent="0.3">
      <c r="A33" s="42">
        <v>110000001</v>
      </c>
      <c r="B33" s="28">
        <v>1100</v>
      </c>
      <c r="C33" s="28" t="str">
        <f>VLOOKUP(Tabela25[[#This Row],[GRUPO]],[1]Produto!H180:I549,2,0)</f>
        <v>Adicional</v>
      </c>
      <c r="D33" s="43" t="s">
        <v>51</v>
      </c>
      <c r="E33" s="44">
        <v>4.5</v>
      </c>
      <c r="F33" s="44">
        <v>5.5</v>
      </c>
      <c r="G33" s="21">
        <f>VLOOKUP(Tabela25[[#This Row],[CÓDIGO]],'[1]Estrutura Loja'!$B$3:$M$2941,5,0)</f>
        <v>4.5627841726618703</v>
      </c>
      <c r="H33" s="45">
        <f t="shared" si="0"/>
        <v>-6.2784172661870308E-2</v>
      </c>
      <c r="I33" s="44">
        <v>4.5</v>
      </c>
      <c r="J3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0.19612133333333329</v>
      </c>
      <c r="K33" s="46">
        <f>Tabela25[[#This Row],[PREÇO PRATICADO]]*Tabela25[[#This Row],[LUCRO REAL %]]</f>
        <v>0.88254599999999983</v>
      </c>
      <c r="L33" s="24"/>
      <c r="M33" s="47">
        <f>IF(Tabela25[[#This Row],[QUANT. VENDA]]=0,0,((Tabela25[[#This Row],[CUSTO]]*Tabela25[[#This Row],[QUANT. VENDA]])/(Tabela25[[#This Row],[QUANT. VENDA]]*Tabela25[[#This Row],[PREÇO PRATICADO]])))</f>
        <v>0</v>
      </c>
      <c r="N33" s="48">
        <f>VLOOKUP(Tabela25[[#This Row],[CÓDIGO]],'[1]Estrutura Loja'!$B$3:$E$1825,4,0)</f>
        <v>1.268454</v>
      </c>
      <c r="O33" s="48">
        <f>Tabela25[[#This Row],[QUANT. VENDA]]*Tabela25[[#This Row],[PREÇO PRATICADO]]</f>
        <v>0</v>
      </c>
      <c r="P33" s="48">
        <f>Tabela25[[#This Row],[QUANT. VENDA]]*Tabela25[[#This Row],[CUSTO]]</f>
        <v>0</v>
      </c>
      <c r="Q33" s="49">
        <f>Tabela25[[#This Row],[CUSTO]]/Tabela25[[#This Row],[PREÇO PRATICADO]]</f>
        <v>0.28187866666666667</v>
      </c>
      <c r="S33" s="40"/>
      <c r="T33" s="40"/>
    </row>
    <row r="34" spans="1:20" ht="15.75" customHeight="1" x14ac:dyDescent="0.3">
      <c r="A34" s="42">
        <v>110000002</v>
      </c>
      <c r="B34" s="28">
        <v>1100</v>
      </c>
      <c r="C34" s="28" t="str">
        <f>VLOOKUP(Tabela25[[#This Row],[GRUPO]],[1]Produto!H181:I550,2,0)</f>
        <v>Adicional</v>
      </c>
      <c r="D34" s="43" t="s">
        <v>52</v>
      </c>
      <c r="E34" s="44">
        <v>3</v>
      </c>
      <c r="F34" s="44">
        <v>3</v>
      </c>
      <c r="G34" s="21">
        <f>VLOOKUP(Tabela25[[#This Row],[CÓDIGO]],'[1]Estrutura Loja'!$B$3:$M$2941,5,0)</f>
        <v>2.226378896882494</v>
      </c>
      <c r="H34" s="45">
        <f t="shared" si="0"/>
        <v>0.77362110311750598</v>
      </c>
      <c r="I34" s="44">
        <v>3</v>
      </c>
      <c r="J3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0.27168888888888881</v>
      </c>
      <c r="K34" s="46">
        <f>Tabela25[[#This Row],[PREÇO PRATICADO]]*Tabela25[[#This Row],[LUCRO REAL %]]</f>
        <v>0.81506666666666638</v>
      </c>
      <c r="L34" s="24"/>
      <c r="M34" s="47">
        <f>IF(Tabela25[[#This Row],[QUANT. VENDA]]=0,0,((Tabela25[[#This Row],[CUSTO]]*Tabela25[[#This Row],[QUANT. VENDA]])/(Tabela25[[#This Row],[QUANT. VENDA]]*Tabela25[[#This Row],[PREÇO PRATICADO]])))</f>
        <v>0</v>
      </c>
      <c r="N34" s="48">
        <f>VLOOKUP(Tabela25[[#This Row],[CÓDIGO]],'[1]Estrutura Loja'!$B$3:$E$1825,4,0)</f>
        <v>0.61893333333333345</v>
      </c>
      <c r="O34" s="48">
        <f>Tabela25[[#This Row],[QUANT. VENDA]]*Tabela25[[#This Row],[PREÇO PRATICADO]]</f>
        <v>0</v>
      </c>
      <c r="P34" s="48">
        <f>Tabela25[[#This Row],[QUANT. VENDA]]*Tabela25[[#This Row],[CUSTO]]</f>
        <v>0</v>
      </c>
      <c r="Q34" s="49">
        <f>Tabela25[[#This Row],[CUSTO]]/Tabela25[[#This Row],[PREÇO PRATICADO]]</f>
        <v>0.20631111111111114</v>
      </c>
    </row>
    <row r="35" spans="1:20" ht="15.75" customHeight="1" x14ac:dyDescent="0.3">
      <c r="A35" s="42">
        <v>110000003</v>
      </c>
      <c r="B35" s="28">
        <v>1100</v>
      </c>
      <c r="C35" s="28" t="str">
        <f>VLOOKUP(Tabela25[[#This Row],[GRUPO]],[1]Produto!H183:I552,2,0)</f>
        <v>Adicional</v>
      </c>
      <c r="D35" s="43" t="s">
        <v>53</v>
      </c>
      <c r="E35" s="44">
        <v>2</v>
      </c>
      <c r="F35" s="44">
        <v>2.5</v>
      </c>
      <c r="G35" s="21">
        <f>VLOOKUP(Tabela25[[#This Row],[CÓDIGO]],'[1]Estrutura Loja'!$B$3:$M$2941,5,0)</f>
        <v>2.2509521273606108</v>
      </c>
      <c r="H35" s="45">
        <f t="shared" si="0"/>
        <v>-0.25095212736061079</v>
      </c>
      <c r="I35" s="44">
        <v>2</v>
      </c>
      <c r="J3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0.16511765429687503</v>
      </c>
      <c r="K35" s="46">
        <f>Tabela25[[#This Row],[PREÇO PRATICADO]]*Tabela25[[#This Row],[LUCRO REAL %]]</f>
        <v>0.33023530859375005</v>
      </c>
      <c r="L35" s="24"/>
      <c r="M35" s="47">
        <f>IF(Tabela25[[#This Row],[QUANT. VENDA]]=0,0,((Tabela25[[#This Row],[CUSTO]]*Tabela25[[#This Row],[QUANT. VENDA]])/(Tabela25[[#This Row],[QUANT. VENDA]]*Tabela25[[#This Row],[PREÇO PRATICADO]])))</f>
        <v>0</v>
      </c>
      <c r="N35" s="48">
        <f>VLOOKUP(Tabela25[[#This Row],[CÓDIGO]],'[1]Estrutura Loja'!$B$3:$E$1825,4,0)</f>
        <v>0.62576469140624991</v>
      </c>
      <c r="O35" s="48">
        <f>Tabela25[[#This Row],[QUANT. VENDA]]*Tabela25[[#This Row],[PREÇO PRATICADO]]</f>
        <v>0</v>
      </c>
      <c r="P35" s="48">
        <f>Tabela25[[#This Row],[QUANT. VENDA]]*Tabela25[[#This Row],[CUSTO]]</f>
        <v>0</v>
      </c>
      <c r="Q35" s="49">
        <f>Tabela25[[#This Row],[CUSTO]]/Tabela25[[#This Row],[PREÇO PRATICADO]]</f>
        <v>0.31288234570312495</v>
      </c>
    </row>
    <row r="36" spans="1:20" ht="15.75" customHeight="1" x14ac:dyDescent="0.3">
      <c r="A36" s="42">
        <v>110000004</v>
      </c>
      <c r="B36" s="28">
        <v>1100</v>
      </c>
      <c r="C36" s="28" t="str">
        <f>VLOOKUP(Tabela25[[#This Row],[GRUPO]],[1]Produto!H184:I553,2,0)</f>
        <v>Adicional</v>
      </c>
      <c r="D36" s="43" t="s">
        <v>54</v>
      </c>
      <c r="E36" s="44">
        <v>4</v>
      </c>
      <c r="F36" s="44">
        <v>5</v>
      </c>
      <c r="G36" s="21">
        <f>VLOOKUP(Tabela25[[#This Row],[CÓDIGO]],'[1]Estrutura Loja'!$B$3:$M$2941,5,0)</f>
        <v>4.4751798561151075</v>
      </c>
      <c r="H36" s="45">
        <f t="shared" si="0"/>
        <v>-0.47517985611510749</v>
      </c>
      <c r="I36" s="44">
        <v>4</v>
      </c>
      <c r="J3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0.16697499999999998</v>
      </c>
      <c r="K36" s="46">
        <f>Tabela25[[#This Row],[PREÇO PRATICADO]]*Tabela25[[#This Row],[LUCRO REAL %]]</f>
        <v>0.66789999999999994</v>
      </c>
      <c r="L36" s="24"/>
      <c r="M36" s="47">
        <f>IF(Tabela25[[#This Row],[QUANT. VENDA]]=0,0,((Tabela25[[#This Row],[CUSTO]]*Tabela25[[#This Row],[QUANT. VENDA]])/(Tabela25[[#This Row],[QUANT. VENDA]]*Tabela25[[#This Row],[PREÇO PRATICADO]])))</f>
        <v>0</v>
      </c>
      <c r="N36" s="48">
        <f>VLOOKUP(Tabela25[[#This Row],[CÓDIGO]],'[1]Estrutura Loja'!$B$3:$E$1825,4,0)</f>
        <v>1.2441</v>
      </c>
      <c r="O36" s="48">
        <f>Tabela25[[#This Row],[QUANT. VENDA]]*Tabela25[[#This Row],[PREÇO PRATICADO]]</f>
        <v>0</v>
      </c>
      <c r="P36" s="48">
        <f>Tabela25[[#This Row],[QUANT. VENDA]]*Tabela25[[#This Row],[CUSTO]]</f>
        <v>0</v>
      </c>
      <c r="Q36" s="49">
        <f>Tabela25[[#This Row],[CUSTO]]/Tabela25[[#This Row],[PREÇO PRATICADO]]</f>
        <v>0.311025</v>
      </c>
    </row>
    <row r="37" spans="1:20" ht="15.75" customHeight="1" x14ac:dyDescent="0.3">
      <c r="A37" s="42">
        <v>110000005</v>
      </c>
      <c r="B37" s="28">
        <v>1100</v>
      </c>
      <c r="C37" s="28" t="str">
        <f>VLOOKUP(Tabela25[[#This Row],[GRUPO]],[1]Produto!H185:I554,2,0)</f>
        <v>Adicional</v>
      </c>
      <c r="D37" s="43" t="s">
        <v>55</v>
      </c>
      <c r="E37" s="44">
        <v>2</v>
      </c>
      <c r="F37" s="44">
        <v>2</v>
      </c>
      <c r="G37" s="21">
        <f>VLOOKUP(Tabela25[[#This Row],[CÓDIGO]],'[1]Estrutura Loja'!$B$3:$M$2941,5,0)</f>
        <v>2.2191187050359709</v>
      </c>
      <c r="H37" s="45">
        <f t="shared" si="0"/>
        <v>-0.21911870503597086</v>
      </c>
      <c r="I37" s="44">
        <v>2</v>
      </c>
      <c r="J3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0.16954249999999998</v>
      </c>
      <c r="K37" s="46">
        <f>Tabela25[[#This Row],[PREÇO PRATICADO]]*Tabela25[[#This Row],[LUCRO REAL %]]</f>
        <v>0.33908499999999997</v>
      </c>
      <c r="L37" s="24"/>
      <c r="M37" s="47">
        <f>IF(Tabela25[[#This Row],[QUANT. VENDA]]=0,0,((Tabela25[[#This Row],[CUSTO]]*Tabela25[[#This Row],[QUANT. VENDA]])/(Tabela25[[#This Row],[QUANT. VENDA]]*Tabela25[[#This Row],[PREÇO PRATICADO]])))</f>
        <v>0</v>
      </c>
      <c r="N37" s="48">
        <f>VLOOKUP(Tabela25[[#This Row],[CÓDIGO]],'[1]Estrutura Loja'!$B$3:$E$1825,4,0)</f>
        <v>0.61691499999999999</v>
      </c>
      <c r="O37" s="48">
        <f>Tabela25[[#This Row],[QUANT. VENDA]]*Tabela25[[#This Row],[PREÇO PRATICADO]]</f>
        <v>0</v>
      </c>
      <c r="P37" s="48">
        <f>Tabela25[[#This Row],[QUANT. VENDA]]*Tabela25[[#This Row],[CUSTO]]</f>
        <v>0</v>
      </c>
      <c r="Q37" s="49">
        <f>Tabela25[[#This Row],[CUSTO]]/Tabela25[[#This Row],[PREÇO PRATICADO]]</f>
        <v>0.3084575</v>
      </c>
    </row>
    <row r="38" spans="1:20" ht="15.75" customHeight="1" x14ac:dyDescent="0.3">
      <c r="A38" s="42">
        <v>110000006</v>
      </c>
      <c r="B38" s="28">
        <v>1100</v>
      </c>
      <c r="C38" s="28" t="str">
        <f>VLOOKUP(Tabela25[[#This Row],[GRUPO]],[1]Produto!H186:I555,2,0)</f>
        <v>Adicional</v>
      </c>
      <c r="D38" s="43" t="s">
        <v>56</v>
      </c>
      <c r="E38" s="44">
        <v>1.5</v>
      </c>
      <c r="F38" s="44">
        <v>3</v>
      </c>
      <c r="G38" s="21">
        <f>VLOOKUP(Tabela25[[#This Row],[CÓDIGO]],'[1]Estrutura Loja'!$B$3:$M$2941,5,0)</f>
        <v>1.5278866016098012</v>
      </c>
      <c r="H38" s="45">
        <f t="shared" si="0"/>
        <v>-2.7886601609801165E-2</v>
      </c>
      <c r="I38" s="44">
        <v>1.5</v>
      </c>
      <c r="J3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0.19483168316831681</v>
      </c>
      <c r="K38" s="46">
        <f>Tabela25[[#This Row],[PREÇO PRATICADO]]*Tabela25[[#This Row],[LUCRO REAL %]]</f>
        <v>0.29224752475247523</v>
      </c>
      <c r="L38" s="24"/>
      <c r="M38" s="47">
        <f>IF(Tabela25[[#This Row],[QUANT. VENDA]]=0,0,((Tabela25[[#This Row],[CUSTO]]*Tabela25[[#This Row],[QUANT. VENDA]])/(Tabela25[[#This Row],[QUANT. VENDA]]*Tabela25[[#This Row],[PREÇO PRATICADO]])))</f>
        <v>0</v>
      </c>
      <c r="N38" s="48">
        <f>VLOOKUP(Tabela25[[#This Row],[CÓDIGO]],'[1]Estrutura Loja'!$B$3:$E$1825,4,0)</f>
        <v>0.42475247524752474</v>
      </c>
      <c r="O38" s="48">
        <f>Tabela25[[#This Row],[QUANT. VENDA]]*Tabela25[[#This Row],[PREÇO PRATICADO]]</f>
        <v>0</v>
      </c>
      <c r="P38" s="48">
        <f>Tabela25[[#This Row],[QUANT. VENDA]]*Tabela25[[#This Row],[CUSTO]]</f>
        <v>0</v>
      </c>
      <c r="Q38" s="49">
        <f>Tabela25[[#This Row],[CUSTO]]/Tabela25[[#This Row],[PREÇO PRATICADO]]</f>
        <v>0.28316831683168314</v>
      </c>
    </row>
    <row r="39" spans="1:20" ht="15.75" customHeight="1" x14ac:dyDescent="0.3">
      <c r="A39" s="42">
        <v>110000007</v>
      </c>
      <c r="B39" s="28">
        <v>1100</v>
      </c>
      <c r="C39" s="28" t="str">
        <f>VLOOKUP(Tabela25[[#This Row],[GRUPO]],[1]Produto!H187:I556,2,0)</f>
        <v>Adicional</v>
      </c>
      <c r="D39" s="43" t="s">
        <v>57</v>
      </c>
      <c r="E39" s="44">
        <v>2.5</v>
      </c>
      <c r="F39" s="44">
        <v>3</v>
      </c>
      <c r="G39" s="21">
        <f>VLOOKUP(Tabela25[[#This Row],[CÓDIGO]],'[1]Estrutura Loja'!$B$3:$M$2941,5,0)</f>
        <v>3.1043345323741005</v>
      </c>
      <c r="H39" s="45">
        <f t="shared" si="0"/>
        <v>-0.60433453237410051</v>
      </c>
      <c r="I39" s="44">
        <v>2.5</v>
      </c>
      <c r="J3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0.13279799999999992</v>
      </c>
      <c r="K39" s="46">
        <f>Tabela25[[#This Row],[PREÇO PRATICADO]]*Tabela25[[#This Row],[LUCRO REAL %]]</f>
        <v>0.33199499999999982</v>
      </c>
      <c r="L39" s="24"/>
      <c r="M39" s="47">
        <f>IF(Tabela25[[#This Row],[QUANT. VENDA]]=0,0,((Tabela25[[#This Row],[CUSTO]]*Tabela25[[#This Row],[QUANT. VENDA]])/(Tabela25[[#This Row],[QUANT. VENDA]]*Tabela25[[#This Row],[PREÇO PRATICADO]])))</f>
        <v>0</v>
      </c>
      <c r="N39" s="48">
        <f>VLOOKUP(Tabela25[[#This Row],[CÓDIGO]],'[1]Estrutura Loja'!$B$3:$E$1825,4,0)</f>
        <v>0.86300500000000002</v>
      </c>
      <c r="O39" s="48">
        <f>Tabela25[[#This Row],[QUANT. VENDA]]*Tabela25[[#This Row],[PREÇO PRATICADO]]</f>
        <v>0</v>
      </c>
      <c r="P39" s="48">
        <f>Tabela25[[#This Row],[QUANT. VENDA]]*Tabela25[[#This Row],[CUSTO]]</f>
        <v>0</v>
      </c>
      <c r="Q39" s="49">
        <f>Tabela25[[#This Row],[CUSTO]]/Tabela25[[#This Row],[PREÇO PRATICADO]]</f>
        <v>0.34520200000000001</v>
      </c>
      <c r="T39" s="32"/>
    </row>
    <row r="40" spans="1:20" ht="15.75" customHeight="1" x14ac:dyDescent="0.3">
      <c r="A40" s="42">
        <v>110000008</v>
      </c>
      <c r="B40" s="28">
        <v>1100</v>
      </c>
      <c r="C40" s="28" t="str">
        <f>VLOOKUP(Tabela25[[#This Row],[GRUPO]],[1]Produto!H188:I557,2,0)</f>
        <v>Adicional</v>
      </c>
      <c r="D40" s="43" t="s">
        <v>58</v>
      </c>
      <c r="E40" s="44">
        <v>2</v>
      </c>
      <c r="F40" s="44">
        <v>2</v>
      </c>
      <c r="G40" s="21">
        <f>VLOOKUP(Tabela25[[#This Row],[CÓDIGO]],'[1]Estrutura Loja'!$B$3:$M$2941,5,0)</f>
        <v>2.6701438848920866</v>
      </c>
      <c r="H40" s="45">
        <f t="shared" si="0"/>
        <v>-0.67014388489208665</v>
      </c>
      <c r="I40" s="44">
        <v>2</v>
      </c>
      <c r="J4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0.10684999999999989</v>
      </c>
      <c r="K40" s="46">
        <f>Tabela25[[#This Row],[PREÇO PRATICADO]]*Tabela25[[#This Row],[LUCRO REAL %]]</f>
        <v>0.21369999999999978</v>
      </c>
      <c r="L40" s="24"/>
      <c r="M40" s="47">
        <f>IF(Tabela25[[#This Row],[QUANT. VENDA]]=0,0,((Tabela25[[#This Row],[CUSTO]]*Tabela25[[#This Row],[QUANT. VENDA]])/(Tabela25[[#This Row],[QUANT. VENDA]]*Tabela25[[#This Row],[PREÇO PRATICADO]])))</f>
        <v>0</v>
      </c>
      <c r="N40" s="48">
        <f>VLOOKUP(Tabela25[[#This Row],[CÓDIGO]],'[1]Estrutura Loja'!$B$3:$E$1825,4,0)</f>
        <v>0.74230000000000018</v>
      </c>
      <c r="O40" s="48">
        <f>Tabela25[[#This Row],[QUANT. VENDA]]*Tabela25[[#This Row],[PREÇO PRATICADO]]</f>
        <v>0</v>
      </c>
      <c r="P40" s="48">
        <f>Tabela25[[#This Row],[QUANT. VENDA]]*Tabela25[[#This Row],[CUSTO]]</f>
        <v>0</v>
      </c>
      <c r="Q40" s="49">
        <f>Tabela25[[#This Row],[CUSTO]]/Tabela25[[#This Row],[PREÇO PRATICADO]]</f>
        <v>0.37115000000000009</v>
      </c>
    </row>
    <row r="41" spans="1:20" ht="15.75" customHeight="1" x14ac:dyDescent="0.3">
      <c r="A41" s="42">
        <v>110000009</v>
      </c>
      <c r="B41" s="28">
        <v>1100</v>
      </c>
      <c r="C41" s="28" t="str">
        <f>VLOOKUP(Tabela25[[#This Row],[GRUPO]],[1]Produto!H189:I558,2,0)</f>
        <v>Adicional</v>
      </c>
      <c r="D41" s="43" t="s">
        <v>59</v>
      </c>
      <c r="E41" s="44">
        <v>1.5</v>
      </c>
      <c r="F41" s="44">
        <v>2</v>
      </c>
      <c r="G41" s="21">
        <f>VLOOKUP(Tabela25[[#This Row],[CÓDIGO]],'[1]Estrutura Loja'!$B$3:$M$2941,5,0)</f>
        <v>1.4589928057553954</v>
      </c>
      <c r="H41" s="45">
        <f t="shared" si="0"/>
        <v>4.1007194244604639E-2</v>
      </c>
      <c r="I41" s="44">
        <v>1.5</v>
      </c>
      <c r="J4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0.20760000000000001</v>
      </c>
      <c r="K41" s="46">
        <f>Tabela25[[#This Row],[PREÇO PRATICADO]]*Tabela25[[#This Row],[LUCRO REAL %]]</f>
        <v>0.31140000000000001</v>
      </c>
      <c r="L41" s="24"/>
      <c r="M41" s="47">
        <f>IF(Tabela25[[#This Row],[QUANT. VENDA]]=0,0,((Tabela25[[#This Row],[CUSTO]]*Tabela25[[#This Row],[QUANT. VENDA]])/(Tabela25[[#This Row],[QUANT. VENDA]]*Tabela25[[#This Row],[PREÇO PRATICADO]])))</f>
        <v>0</v>
      </c>
      <c r="N41" s="48">
        <f>VLOOKUP(Tabela25[[#This Row],[CÓDIGO]],'[1]Estrutura Loja'!$B$3:$E$1825,4,0)</f>
        <v>0.40559999999999996</v>
      </c>
      <c r="O41" s="48">
        <f>Tabela25[[#This Row],[QUANT. VENDA]]*Tabela25[[#This Row],[PREÇO PRATICADO]]</f>
        <v>0</v>
      </c>
      <c r="P41" s="48">
        <f>Tabela25[[#This Row],[QUANT. VENDA]]*Tabela25[[#This Row],[CUSTO]]</f>
        <v>0</v>
      </c>
      <c r="Q41" s="49">
        <f>Tabela25[[#This Row],[CUSTO]]/Tabela25[[#This Row],[PREÇO PRATICADO]]</f>
        <v>0.27039999999999997</v>
      </c>
    </row>
    <row r="42" spans="1:20" ht="15.75" customHeight="1" x14ac:dyDescent="0.3">
      <c r="A42" s="42">
        <v>110000010</v>
      </c>
      <c r="B42" s="28">
        <v>1100</v>
      </c>
      <c r="C42" s="28" t="str">
        <f>VLOOKUP(Tabela25[[#This Row],[GRUPO]],[1]Produto!H190:I559,2,0)</f>
        <v>Adicional</v>
      </c>
      <c r="D42" s="43" t="s">
        <v>60</v>
      </c>
      <c r="E42" s="44">
        <v>1.5</v>
      </c>
      <c r="F42" s="44">
        <v>3</v>
      </c>
      <c r="G42" s="21">
        <f>VLOOKUP(Tabela25[[#This Row],[CÓDIGO]],'[1]Estrutura Loja'!$B$3:$M$2941,5,0)</f>
        <v>1.6722110311750598</v>
      </c>
      <c r="H42" s="45">
        <f t="shared" si="0"/>
        <v>-0.17221103117505976</v>
      </c>
      <c r="I42" s="44">
        <v>1.5</v>
      </c>
      <c r="J4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0.16808355555555554</v>
      </c>
      <c r="K42" s="46">
        <f>Tabela25[[#This Row],[PREÇO PRATICADO]]*Tabela25[[#This Row],[LUCRO REAL %]]</f>
        <v>0.25212533333333331</v>
      </c>
      <c r="L42" s="24"/>
      <c r="M42" s="47">
        <f>IF(Tabela25[[#This Row],[QUANT. VENDA]]=0,0,((Tabela25[[#This Row],[CUSTO]]*Tabela25[[#This Row],[QUANT. VENDA]])/(Tabela25[[#This Row],[QUANT. VENDA]]*Tabela25[[#This Row],[PREÇO PRATICADO]])))</f>
        <v>0</v>
      </c>
      <c r="N42" s="48">
        <f>VLOOKUP(Tabela25[[#This Row],[CÓDIGO]],'[1]Estrutura Loja'!$B$3:$E$1825,4,0)</f>
        <v>0.46487466666666666</v>
      </c>
      <c r="O42" s="48">
        <f>Tabela25[[#This Row],[QUANT. VENDA]]*Tabela25[[#This Row],[PREÇO PRATICADO]]</f>
        <v>0</v>
      </c>
      <c r="P42" s="48">
        <f>Tabela25[[#This Row],[QUANT. VENDA]]*Tabela25[[#This Row],[CUSTO]]</f>
        <v>0</v>
      </c>
      <c r="Q42" s="49">
        <f>Tabela25[[#This Row],[CUSTO]]/Tabela25[[#This Row],[PREÇO PRATICADO]]</f>
        <v>0.30991644444444444</v>
      </c>
    </row>
    <row r="43" spans="1:20" ht="15.75" customHeight="1" x14ac:dyDescent="0.3">
      <c r="A43" s="42">
        <v>110000011</v>
      </c>
      <c r="B43" s="28">
        <v>1100</v>
      </c>
      <c r="C43" s="28" t="str">
        <f>VLOOKUP(Tabela25[[#This Row],[GRUPO]],[1]Produto!H191:I560,2,0)</f>
        <v>Adicional</v>
      </c>
      <c r="D43" s="43" t="s">
        <v>61</v>
      </c>
      <c r="E43" s="44">
        <v>2</v>
      </c>
      <c r="F43" s="44">
        <v>2</v>
      </c>
      <c r="G43" s="21">
        <f>VLOOKUP(Tabela25[[#This Row],[CÓDIGO]],'[1]Estrutura Loja'!$B$3:$M$2941,5,0)</f>
        <v>1.1767873201438848</v>
      </c>
      <c r="H43" s="45">
        <f t="shared" si="0"/>
        <v>0.82321267985611524</v>
      </c>
      <c r="I43" s="44">
        <v>2</v>
      </c>
      <c r="J4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0.31442656250000001</v>
      </c>
      <c r="K43" s="46">
        <f>Tabela25[[#This Row],[PREÇO PRATICADO]]*Tabela25[[#This Row],[LUCRO REAL %]]</f>
        <v>0.62885312500000001</v>
      </c>
      <c r="L43" s="24"/>
      <c r="M43" s="47">
        <f>IF(Tabela25[[#This Row],[QUANT. VENDA]]=0,0,((Tabela25[[#This Row],[CUSTO]]*Tabela25[[#This Row],[QUANT. VENDA]])/(Tabela25[[#This Row],[QUANT. VENDA]]*Tabela25[[#This Row],[PREÇO PRATICADO]])))</f>
        <v>0</v>
      </c>
      <c r="N43" s="48">
        <f>VLOOKUP(Tabela25[[#This Row],[CÓDIGO]],'[1]Estrutura Loja'!$B$3:$E$1825,4,0)</f>
        <v>0.327146875</v>
      </c>
      <c r="O43" s="48">
        <f>Tabela25[[#This Row],[QUANT. VENDA]]*Tabela25[[#This Row],[PREÇO PRATICADO]]</f>
        <v>0</v>
      </c>
      <c r="P43" s="48">
        <f>Tabela25[[#This Row],[QUANT. VENDA]]*Tabela25[[#This Row],[CUSTO]]</f>
        <v>0</v>
      </c>
      <c r="Q43" s="49">
        <f>Tabela25[[#This Row],[CUSTO]]/Tabela25[[#This Row],[PREÇO PRATICADO]]</f>
        <v>0.1635734375</v>
      </c>
    </row>
    <row r="44" spans="1:20" ht="15.75" customHeight="1" x14ac:dyDescent="0.3">
      <c r="A44" s="42">
        <v>110000012</v>
      </c>
      <c r="B44" s="28">
        <v>1100</v>
      </c>
      <c r="C44" s="28" t="str">
        <f>VLOOKUP(Tabela25[[#This Row],[GRUPO]],[1]Produto!H193:I561,2,0)</f>
        <v>Adicional</v>
      </c>
      <c r="D44" s="43" t="s">
        <v>62</v>
      </c>
      <c r="E44" s="44">
        <v>2.5</v>
      </c>
      <c r="F44" s="44">
        <v>3</v>
      </c>
      <c r="G44" s="21">
        <f>VLOOKUP(Tabela25[[#This Row],[CÓDIGO]],'[1]Estrutura Loja'!$B$3:$M$2941,5,0)</f>
        <v>2.4049331963001022</v>
      </c>
      <c r="H44" s="45">
        <f t="shared" si="0"/>
        <v>9.5066803699897839E-2</v>
      </c>
      <c r="I44" s="44">
        <v>2.5</v>
      </c>
      <c r="J4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0.21057142857142855</v>
      </c>
      <c r="K44" s="46">
        <f>Tabela25[[#This Row],[PREÇO PRATICADO]]*Tabela25[[#This Row],[LUCRO REAL %]]</f>
        <v>0.52642857142857136</v>
      </c>
      <c r="L44" s="24"/>
      <c r="M44" s="47">
        <f>IF(Tabela25[[#This Row],[QUANT. VENDA]]=0,0,((Tabela25[[#This Row],[CUSTO]]*Tabela25[[#This Row],[QUANT. VENDA]])/(Tabela25[[#This Row],[QUANT. VENDA]]*Tabela25[[#This Row],[PREÇO PRATICADO]])))</f>
        <v>0</v>
      </c>
      <c r="N44" s="48">
        <f>VLOOKUP(Tabela25[[#This Row],[CÓDIGO]],'[1]Estrutura Loja'!$B$3:$E$1825,4,0)</f>
        <v>0.66857142857142848</v>
      </c>
      <c r="O44" s="48">
        <f>Tabela25[[#This Row],[QUANT. VENDA]]*Tabela25[[#This Row],[PREÇO PRATICADO]]</f>
        <v>0</v>
      </c>
      <c r="P44" s="48">
        <f>Tabela25[[#This Row],[QUANT. VENDA]]*Tabela25[[#This Row],[CUSTO]]</f>
        <v>0</v>
      </c>
      <c r="Q44" s="49">
        <f>Tabela25[[#This Row],[CUSTO]]/Tabela25[[#This Row],[PREÇO PRATICADO]]</f>
        <v>0.2674285714285714</v>
      </c>
    </row>
    <row r="45" spans="1:20" ht="15.75" customHeight="1" x14ac:dyDescent="0.3">
      <c r="A45" s="42">
        <v>110000013</v>
      </c>
      <c r="B45" s="28">
        <v>1100</v>
      </c>
      <c r="C45" s="28" t="str">
        <f>VLOOKUP(Tabela25[[#This Row],[GRUPO]],[1]Produto!H196:I563,2,0)</f>
        <v>Adicional</v>
      </c>
      <c r="D45" s="43" t="s">
        <v>63</v>
      </c>
      <c r="E45" s="44">
        <v>1.5</v>
      </c>
      <c r="F45" s="44">
        <v>3</v>
      </c>
      <c r="G45" s="21">
        <f>VLOOKUP(Tabela25[[#This Row],[CÓDIGO]],'[1]Estrutura Loja'!$B$3:$M$2941,5,0)</f>
        <v>0.91726618705035967</v>
      </c>
      <c r="H45" s="45">
        <f t="shared" si="0"/>
        <v>0.58273381294964033</v>
      </c>
      <c r="I45" s="44">
        <v>1.5</v>
      </c>
      <c r="J4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0.308</v>
      </c>
      <c r="K45" s="46">
        <f>Tabela25[[#This Row],[PREÇO PRATICADO]]*Tabela25[[#This Row],[LUCRO REAL %]]</f>
        <v>0.46199999999999997</v>
      </c>
      <c r="L45" s="24"/>
      <c r="M45" s="47">
        <f>IF(Tabela25[[#This Row],[QUANT. VENDA]]=0,0,((Tabela25[[#This Row],[CUSTO]]*Tabela25[[#This Row],[QUANT. VENDA]])/(Tabela25[[#This Row],[QUANT. VENDA]]*Tabela25[[#This Row],[PREÇO PRATICADO]])))</f>
        <v>0</v>
      </c>
      <c r="N45" s="48">
        <f>VLOOKUP(Tabela25[[#This Row],[CÓDIGO]],'[1]Estrutura Loja'!$B$3:$E$1825,4,0)</f>
        <v>0.255</v>
      </c>
      <c r="O45" s="48">
        <f>Tabela25[[#This Row],[QUANT. VENDA]]*Tabela25[[#This Row],[PREÇO PRATICADO]]</f>
        <v>0</v>
      </c>
      <c r="P45" s="48">
        <f>Tabela25[[#This Row],[QUANT. VENDA]]*Tabela25[[#This Row],[CUSTO]]</f>
        <v>0</v>
      </c>
      <c r="Q45" s="49">
        <f>Tabela25[[#This Row],[CUSTO]]/Tabela25[[#This Row],[PREÇO PRATICADO]]</f>
        <v>0.17</v>
      </c>
    </row>
    <row r="46" spans="1:20" ht="15.75" customHeight="1" x14ac:dyDescent="0.3">
      <c r="A46" s="42">
        <v>110000014</v>
      </c>
      <c r="B46" s="28">
        <v>1100</v>
      </c>
      <c r="C46" s="28" t="str">
        <f>VLOOKUP(Tabela25[[#This Row],[GRUPO]],[1]Produto!H197:I564,2,0)</f>
        <v>Adicional</v>
      </c>
      <c r="D46" s="43" t="s">
        <v>64</v>
      </c>
      <c r="E46" s="44">
        <v>2</v>
      </c>
      <c r="F46" s="44">
        <v>2.5</v>
      </c>
      <c r="G46" s="21">
        <f>VLOOKUP(Tabela25[[#This Row],[CÓDIGO]],'[1]Estrutura Loja'!$B$3:$M$2941,5,0)</f>
        <v>1.6246762589928059</v>
      </c>
      <c r="H46" s="45">
        <f t="shared" si="0"/>
        <v>0.37532374100719412</v>
      </c>
      <c r="I46" s="44">
        <v>2</v>
      </c>
      <c r="J4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0.25216999999999995</v>
      </c>
      <c r="K46" s="46">
        <f>Tabela25[[#This Row],[PREÇO PRATICADO]]*Tabela25[[#This Row],[LUCRO REAL %]]</f>
        <v>0.5043399999999999</v>
      </c>
      <c r="L46" s="24"/>
      <c r="M46" s="47">
        <f>IF(Tabela25[[#This Row],[QUANT. VENDA]]=0,0,((Tabela25[[#This Row],[CUSTO]]*Tabela25[[#This Row],[QUANT. VENDA]])/(Tabela25[[#This Row],[QUANT. VENDA]]*Tabela25[[#This Row],[PREÇO PRATICADO]])))</f>
        <v>0</v>
      </c>
      <c r="N46" s="48">
        <f>VLOOKUP(Tabela25[[#This Row],[CÓDIGO]],'[1]Estrutura Loja'!$B$3:$E$1825,4,0)</f>
        <v>0.45166000000000006</v>
      </c>
      <c r="O46" s="48">
        <f>Tabela25[[#This Row],[QUANT. VENDA]]*Tabela25[[#This Row],[PREÇO PRATICADO]]</f>
        <v>0</v>
      </c>
      <c r="P46" s="48">
        <f>Tabela25[[#This Row],[QUANT. VENDA]]*Tabela25[[#This Row],[CUSTO]]</f>
        <v>0</v>
      </c>
      <c r="Q46" s="49">
        <f>Tabela25[[#This Row],[CUSTO]]/Tabela25[[#This Row],[PREÇO PRATICADO]]</f>
        <v>0.22583000000000003</v>
      </c>
    </row>
    <row r="47" spans="1:20" ht="15.75" customHeight="1" x14ac:dyDescent="0.3">
      <c r="A47" s="42">
        <v>110000015</v>
      </c>
      <c r="B47" s="28">
        <v>1100</v>
      </c>
      <c r="C47" s="28" t="str">
        <f>VLOOKUP(Tabela25[[#This Row],[GRUPO]],[1]Produto!H199:I566,2,0)</f>
        <v>Adicional</v>
      </c>
      <c r="D47" s="43" t="s">
        <v>65</v>
      </c>
      <c r="E47" s="44">
        <v>1</v>
      </c>
      <c r="F47" s="44">
        <v>2</v>
      </c>
      <c r="G47" s="21">
        <f>VLOOKUP(Tabela25[[#This Row],[CÓDIGO]],'[1]Estrutura Loja'!$B$3:$M$2941,5,0)</f>
        <v>0.45928057553956836</v>
      </c>
      <c r="H47" s="45">
        <f t="shared" si="0"/>
        <v>0.54071942446043164</v>
      </c>
      <c r="I47" s="44">
        <v>1</v>
      </c>
      <c r="J4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0.35031999999999996</v>
      </c>
      <c r="K47" s="46">
        <f>Tabela25[[#This Row],[PREÇO PRATICADO]]*Tabela25[[#This Row],[LUCRO REAL %]]</f>
        <v>0.35031999999999996</v>
      </c>
      <c r="L47" s="24"/>
      <c r="M47" s="47">
        <f>IF(Tabela25[[#This Row],[QUANT. VENDA]]=0,0,((Tabela25[[#This Row],[CUSTO]]*Tabela25[[#This Row],[QUANT. VENDA]])/(Tabela25[[#This Row],[QUANT. VENDA]]*Tabela25[[#This Row],[PREÇO PRATICADO]])))</f>
        <v>0</v>
      </c>
      <c r="N47" s="48">
        <f>VLOOKUP(Tabela25[[#This Row],[CÓDIGO]],'[1]Estrutura Loja'!$B$3:$E$1825,4,0)</f>
        <v>0.12768000000000002</v>
      </c>
      <c r="O47" s="48">
        <f>Tabela25[[#This Row],[QUANT. VENDA]]*Tabela25[[#This Row],[PREÇO PRATICADO]]</f>
        <v>0</v>
      </c>
      <c r="P47" s="48">
        <f>Tabela25[[#This Row],[QUANT. VENDA]]*Tabela25[[#This Row],[CUSTO]]</f>
        <v>0</v>
      </c>
      <c r="Q47" s="49">
        <f>Tabela25[[#This Row],[CUSTO]]/Tabela25[[#This Row],[PREÇO PRATICADO]]</f>
        <v>0.12768000000000002</v>
      </c>
    </row>
    <row r="48" spans="1:20" ht="15.75" customHeight="1" x14ac:dyDescent="0.3">
      <c r="A48" s="42">
        <v>110000016</v>
      </c>
      <c r="B48" s="28">
        <v>1100</v>
      </c>
      <c r="C48" s="28" t="str">
        <f>VLOOKUP(Tabela25[[#This Row],[GRUPO]],[1]Produto!H201:I568,2,0)</f>
        <v>Adicional</v>
      </c>
      <c r="D48" s="43" t="s">
        <v>66</v>
      </c>
      <c r="E48" s="44">
        <v>4</v>
      </c>
      <c r="F48" s="44">
        <v>4</v>
      </c>
      <c r="G48" s="21">
        <f>VLOOKUP(Tabela25[[#This Row],[CÓDIGO]],'[1]Estrutura Loja'!$B$3:$M$2941,5,0)</f>
        <v>3.8859712230215826</v>
      </c>
      <c r="H48" s="45">
        <f t="shared" si="0"/>
        <v>0.1140287769784174</v>
      </c>
      <c r="I48" s="44">
        <v>4</v>
      </c>
      <c r="J4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0.20792499999999997</v>
      </c>
      <c r="K48" s="46">
        <f>Tabela25[[#This Row],[PREÇO PRATICADO]]*Tabela25[[#This Row],[LUCRO REAL %]]</f>
        <v>0.83169999999999988</v>
      </c>
      <c r="L48" s="24"/>
      <c r="M48" s="47">
        <f>IF(Tabela25[[#This Row],[QUANT. VENDA]]=0,0,((Tabela25[[#This Row],[CUSTO]]*Tabela25[[#This Row],[QUANT. VENDA]])/(Tabela25[[#This Row],[QUANT. VENDA]]*Tabela25[[#This Row],[PREÇO PRATICADO]])))</f>
        <v>0</v>
      </c>
      <c r="N48" s="48">
        <f>VLOOKUP(Tabela25[[#This Row],[CÓDIGO]],'[1]Estrutura Loja'!$B$3:$E$1825,4,0)</f>
        <v>1.0803</v>
      </c>
      <c r="O48" s="48">
        <f>Tabela25[[#This Row],[QUANT. VENDA]]*Tabela25[[#This Row],[PREÇO PRATICADO]]</f>
        <v>0</v>
      </c>
      <c r="P48" s="48">
        <f>Tabela25[[#This Row],[QUANT. VENDA]]*Tabela25[[#This Row],[CUSTO]]</f>
        <v>0</v>
      </c>
      <c r="Q48" s="49">
        <f>Tabela25[[#This Row],[CUSTO]]/Tabela25[[#This Row],[PREÇO PRATICADO]]</f>
        <v>0.27007500000000001</v>
      </c>
    </row>
    <row r="49" spans="1:17" ht="15.75" customHeight="1" x14ac:dyDescent="0.3">
      <c r="A49" s="42">
        <v>110000017</v>
      </c>
      <c r="B49" s="28">
        <v>1100</v>
      </c>
      <c r="C49" s="28" t="str">
        <f>VLOOKUP(Tabela25[[#This Row],[GRUPO]],[1]Produto!H204:I569,2,0)</f>
        <v>Adicional</v>
      </c>
      <c r="D49" s="43" t="s">
        <v>67</v>
      </c>
      <c r="E49" s="44">
        <v>3</v>
      </c>
      <c r="F49" s="44">
        <v>3</v>
      </c>
      <c r="G49" s="21">
        <f>VLOOKUP(Tabela25[[#This Row],[CÓDIGO]],'[1]Estrutura Loja'!$B$3:$M$2941,5,0)</f>
        <v>2.9059609455292907</v>
      </c>
      <c r="H49" s="45">
        <f t="shared" si="0"/>
        <v>9.403905447070926E-2</v>
      </c>
      <c r="I49" s="44">
        <v>3</v>
      </c>
      <c r="J4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0.20871428571428566</v>
      </c>
      <c r="K49" s="46">
        <f>Tabela25[[#This Row],[PREÇO PRATICADO]]*Tabela25[[#This Row],[LUCRO REAL %]]</f>
        <v>0.626142857142857</v>
      </c>
      <c r="L49" s="24"/>
      <c r="M49" s="47">
        <f>IF(Tabela25[[#This Row],[QUANT. VENDA]]=0,0,((Tabela25[[#This Row],[CUSTO]]*Tabela25[[#This Row],[QUANT. VENDA]])/(Tabela25[[#This Row],[QUANT. VENDA]]*Tabela25[[#This Row],[PREÇO PRATICADO]])))</f>
        <v>0</v>
      </c>
      <c r="N49" s="48">
        <f>VLOOKUP(Tabela25[[#This Row],[CÓDIGO]],'[1]Estrutura Loja'!$B$3:$E$1825,4,0)</f>
        <v>0.80785714285714294</v>
      </c>
      <c r="O49" s="48">
        <f>Tabela25[[#This Row],[QUANT. VENDA]]*Tabela25[[#This Row],[PREÇO PRATICADO]]</f>
        <v>0</v>
      </c>
      <c r="P49" s="48">
        <f>Tabela25[[#This Row],[QUANT. VENDA]]*Tabela25[[#This Row],[CUSTO]]</f>
        <v>0</v>
      </c>
      <c r="Q49" s="49">
        <f>Tabela25[[#This Row],[CUSTO]]/Tabela25[[#This Row],[PREÇO PRATICADO]]</f>
        <v>0.26928571428571429</v>
      </c>
    </row>
    <row r="50" spans="1:17" ht="15.75" customHeight="1" x14ac:dyDescent="0.3">
      <c r="A50" s="42">
        <v>110000018</v>
      </c>
      <c r="B50" s="28">
        <v>1100</v>
      </c>
      <c r="C50" s="28" t="str">
        <f>VLOOKUP(Tabela25[[#This Row],[GRUPO]],[1]Produto!H205:I570,2,0)</f>
        <v>Adicional</v>
      </c>
      <c r="D50" s="43" t="s">
        <v>68</v>
      </c>
      <c r="E50" s="44">
        <v>3.5</v>
      </c>
      <c r="F50" s="44">
        <v>4</v>
      </c>
      <c r="G50" s="21">
        <f>VLOOKUP(Tabela25[[#This Row],[CÓDIGO]],'[1]Estrutura Loja'!$B$3:$M$2941,5,0)</f>
        <v>3.4751284686536481</v>
      </c>
      <c r="H50" s="45">
        <f t="shared" si="0"/>
        <v>2.4871531346351894E-2</v>
      </c>
      <c r="I50" s="44">
        <v>3.5</v>
      </c>
      <c r="J5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0.20197551020408167</v>
      </c>
      <c r="K50" s="46">
        <f>Tabela25[[#This Row],[PREÇO PRATICADO]]*Tabela25[[#This Row],[LUCRO REAL %]]</f>
        <v>0.70691428571428583</v>
      </c>
      <c r="L50" s="24"/>
      <c r="M50" s="47">
        <f>IF(Tabela25[[#This Row],[QUANT. VENDA]]=0,0,((Tabela25[[#This Row],[CUSTO]]*Tabela25[[#This Row],[QUANT. VENDA]])/(Tabela25[[#This Row],[QUANT. VENDA]]*Tabela25[[#This Row],[PREÇO PRATICADO]])))</f>
        <v>0</v>
      </c>
      <c r="N50" s="48">
        <f>VLOOKUP(Tabela25[[#This Row],[CÓDIGO]],'[1]Estrutura Loja'!$B$3:$E$1825,4,0)</f>
        <v>0.96608571428571421</v>
      </c>
      <c r="O50" s="48">
        <f>Tabela25[[#This Row],[QUANT. VENDA]]*Tabela25[[#This Row],[PREÇO PRATICADO]]</f>
        <v>0</v>
      </c>
      <c r="P50" s="48">
        <f>Tabela25[[#This Row],[QUANT. VENDA]]*Tabela25[[#This Row],[CUSTO]]</f>
        <v>0</v>
      </c>
      <c r="Q50" s="49">
        <f>Tabela25[[#This Row],[CUSTO]]/Tabela25[[#This Row],[PREÇO PRATICADO]]</f>
        <v>0.27602448979591837</v>
      </c>
    </row>
    <row r="51" spans="1:17" ht="15.75" customHeight="1" x14ac:dyDescent="0.3">
      <c r="A51" s="42">
        <v>110000019</v>
      </c>
      <c r="B51" s="28">
        <v>1100</v>
      </c>
      <c r="C51" s="28" t="str">
        <f>VLOOKUP(Tabela25[[#This Row],[GRUPO]],[1]Produto!H207:I572,2,0)</f>
        <v>Adicional</v>
      </c>
      <c r="D51" s="43" t="s">
        <v>69</v>
      </c>
      <c r="E51" s="44">
        <v>3</v>
      </c>
      <c r="F51" s="44">
        <v>4</v>
      </c>
      <c r="G51" s="21">
        <f>VLOOKUP(Tabela25[[#This Row],[CÓDIGO]],'[1]Estrutura Loja'!$B$3:$M$2941,5,0)</f>
        <v>2.5268645842819417</v>
      </c>
      <c r="H51" s="45">
        <f t="shared" si="0"/>
        <v>0.47313541571805828</v>
      </c>
      <c r="I51" s="44">
        <v>3</v>
      </c>
      <c r="J5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0.24384388185654005</v>
      </c>
      <c r="K51" s="46">
        <f>Tabela25[[#This Row],[PREÇO PRATICADO]]*Tabela25[[#This Row],[LUCRO REAL %]]</f>
        <v>0.73153164556962014</v>
      </c>
      <c r="L51" s="24"/>
      <c r="M51" s="47">
        <f>IF(Tabela25[[#This Row],[QUANT. VENDA]]=0,0,((Tabela25[[#This Row],[CUSTO]]*Tabela25[[#This Row],[QUANT. VENDA]])/(Tabela25[[#This Row],[QUANT. VENDA]]*Tabela25[[#This Row],[PREÇO PRATICADO]])))</f>
        <v>0</v>
      </c>
      <c r="N51" s="48">
        <f>VLOOKUP(Tabela25[[#This Row],[CÓDIGO]],'[1]Estrutura Loja'!$B$3:$E$1825,4,0)</f>
        <v>0.7024683544303798</v>
      </c>
      <c r="O51" s="48">
        <f>Tabela25[[#This Row],[QUANT. VENDA]]*Tabela25[[#This Row],[PREÇO PRATICADO]]</f>
        <v>0</v>
      </c>
      <c r="P51" s="48">
        <f>Tabela25[[#This Row],[QUANT. VENDA]]*Tabela25[[#This Row],[CUSTO]]</f>
        <v>0</v>
      </c>
      <c r="Q51" s="49">
        <f>Tabela25[[#This Row],[CUSTO]]/Tabela25[[#This Row],[PREÇO PRATICADO]]</f>
        <v>0.23415611814345993</v>
      </c>
    </row>
    <row r="52" spans="1:17" ht="15.75" customHeight="1" x14ac:dyDescent="0.3">
      <c r="A52" s="42">
        <v>110000020</v>
      </c>
      <c r="B52" s="28">
        <v>1100</v>
      </c>
      <c r="C52" s="28" t="str">
        <f>VLOOKUP(Tabela25[[#This Row],[GRUPO]],[1]Produto!H208:I573,2,0)</f>
        <v>Adicional</v>
      </c>
      <c r="D52" s="43" t="s">
        <v>70</v>
      </c>
      <c r="E52" s="44">
        <v>9</v>
      </c>
      <c r="F52" s="44">
        <v>10</v>
      </c>
      <c r="G52" s="21">
        <f>VLOOKUP(Tabela25[[#This Row],[CÓDIGO]],'[1]Estrutura Loja'!$B$3:$M$2941,5,0)</f>
        <v>12.592703181205035</v>
      </c>
      <c r="H52" s="45">
        <f t="shared" si="0"/>
        <v>-3.5927031812050352</v>
      </c>
      <c r="I52" s="44">
        <v>9</v>
      </c>
      <c r="J5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8.9025390624999964E-2</v>
      </c>
      <c r="K52" s="46">
        <f>Tabela25[[#This Row],[PREÇO PRATICADO]]*Tabela25[[#This Row],[LUCRO REAL %]]</f>
        <v>0.80122851562499964</v>
      </c>
      <c r="L52" s="24"/>
      <c r="M52" s="47">
        <f>IF(Tabela25[[#This Row],[QUANT. VENDA]]=0,0,((Tabela25[[#This Row],[CUSTO]]*Tabela25[[#This Row],[QUANT. VENDA]])/(Tabela25[[#This Row],[QUANT. VENDA]]*Tabela25[[#This Row],[PREÇO PRATICADO]])))</f>
        <v>0</v>
      </c>
      <c r="N52" s="48">
        <f>VLOOKUP(Tabela25[[#This Row],[CÓDIGO]],'[1]Estrutura Loja'!$B$3:$E$1825,4,0)</f>
        <v>3.500771484375</v>
      </c>
      <c r="O52" s="48">
        <f>Tabela25[[#This Row],[QUANT. VENDA]]*Tabela25[[#This Row],[PREÇO PRATICADO]]</f>
        <v>0</v>
      </c>
      <c r="P52" s="48">
        <f>Tabela25[[#This Row],[QUANT. VENDA]]*Tabela25[[#This Row],[CUSTO]]</f>
        <v>0</v>
      </c>
      <c r="Q52" s="49">
        <f>Tabela25[[#This Row],[CUSTO]]/Tabela25[[#This Row],[PREÇO PRATICADO]]</f>
        <v>0.388974609375</v>
      </c>
    </row>
    <row r="53" spans="1:17" ht="15.75" customHeight="1" x14ac:dyDescent="0.3">
      <c r="A53" s="42">
        <v>110000021</v>
      </c>
      <c r="B53" s="28">
        <v>1100</v>
      </c>
      <c r="C53" s="28" t="str">
        <f>VLOOKUP(Tabela25[[#This Row],[GRUPO]],[1]Produto!H209:I574,2,0)</f>
        <v>Adicional</v>
      </c>
      <c r="D53" s="43" t="s">
        <v>71</v>
      </c>
      <c r="E53" s="44">
        <v>6</v>
      </c>
      <c r="F53" s="44">
        <v>7</v>
      </c>
      <c r="G53" s="21">
        <f>VLOOKUP(Tabela25[[#This Row],[CÓDIGO]],'[1]Estrutura Loja'!$B$3:$M$2941,5,0)</f>
        <v>8.3951354541366907</v>
      </c>
      <c r="H53" s="45">
        <f t="shared" si="0"/>
        <v>-2.3951354541366907</v>
      </c>
      <c r="I53" s="44">
        <v>6</v>
      </c>
      <c r="J5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8.9025390624999964E-2</v>
      </c>
      <c r="K53" s="46">
        <f>Tabela25[[#This Row],[PREÇO PRATICADO]]*Tabela25[[#This Row],[LUCRO REAL %]]</f>
        <v>0.53415234374999976</v>
      </c>
      <c r="L53" s="24"/>
      <c r="M53" s="47">
        <f>IF(Tabela25[[#This Row],[QUANT. VENDA]]=0,0,((Tabela25[[#This Row],[CUSTO]]*Tabela25[[#This Row],[QUANT. VENDA]])/(Tabela25[[#This Row],[QUANT. VENDA]]*Tabela25[[#This Row],[PREÇO PRATICADO]])))</f>
        <v>0</v>
      </c>
      <c r="N53" s="48">
        <f>VLOOKUP(Tabela25[[#This Row],[CÓDIGO]],'[1]Estrutura Loja'!$B$3:$E$1825,4,0)</f>
        <v>2.3338476562500001</v>
      </c>
      <c r="O53" s="48">
        <f>Tabela25[[#This Row],[QUANT. VENDA]]*Tabela25[[#This Row],[PREÇO PRATICADO]]</f>
        <v>0</v>
      </c>
      <c r="P53" s="48">
        <f>Tabela25[[#This Row],[QUANT. VENDA]]*Tabela25[[#This Row],[CUSTO]]</f>
        <v>0</v>
      </c>
      <c r="Q53" s="49">
        <f>Tabela25[[#This Row],[CUSTO]]/Tabela25[[#This Row],[PREÇO PRATICADO]]</f>
        <v>0.388974609375</v>
      </c>
    </row>
    <row r="54" spans="1:17" ht="15.75" customHeight="1" x14ac:dyDescent="0.3">
      <c r="A54" s="42">
        <v>110000022</v>
      </c>
      <c r="B54" s="34">
        <v>1100</v>
      </c>
      <c r="C54" s="34" t="str">
        <f>VLOOKUP(Tabela25[[#This Row],[GRUPO]],[1]Produto!H51:I398,2,0)</f>
        <v>Adicional</v>
      </c>
      <c r="D54" s="43" t="s">
        <v>72</v>
      </c>
      <c r="E54" s="36">
        <v>9</v>
      </c>
      <c r="F54" s="36">
        <v>10</v>
      </c>
      <c r="G54" s="37">
        <f>VLOOKUP(Tabela25[[#This Row],[CÓDIGO]],'[1]Estrutura Loja'!$B$3:$M$2941,5,0)</f>
        <v>12.592703181205035</v>
      </c>
      <c r="H54" s="37">
        <f t="shared" si="0"/>
        <v>-3.5927031812050352</v>
      </c>
      <c r="I54" s="36">
        <v>9</v>
      </c>
      <c r="J5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8.9025390624999964E-2</v>
      </c>
      <c r="K54" s="46">
        <f>Tabela25[[#This Row],[PREÇO PRATICADO]]*Tabela25[[#This Row],[LUCRO REAL %]]</f>
        <v>0.80122851562499964</v>
      </c>
      <c r="L54" s="38"/>
      <c r="M54" s="47">
        <f>IF(Tabela25[[#This Row],[QUANT. VENDA]]=0,0,((Tabela25[[#This Row],[CUSTO]]*Tabela25[[#This Row],[QUANT. VENDA]])/(Tabela25[[#This Row],[QUANT. VENDA]]*Tabela25[[#This Row],[PREÇO PRATICADO]])))</f>
        <v>0</v>
      </c>
      <c r="N54" s="48">
        <f>VLOOKUP(Tabela25[[#This Row],[CÓDIGO]],'[1]Estrutura Loja'!$B$3:$E$1825,4,0)</f>
        <v>3.500771484375</v>
      </c>
      <c r="O54" s="39">
        <f>Tabela25[[#This Row],[QUANT. VENDA]]*Tabela25[[#This Row],[PREÇO PRATICADO]]</f>
        <v>0</v>
      </c>
      <c r="P54" s="39">
        <f>Tabela25[[#This Row],[QUANT. VENDA]]*Tabela25[[#This Row],[CUSTO]]</f>
        <v>0</v>
      </c>
      <c r="Q54" s="49">
        <f>Tabela25[[#This Row],[CUSTO]]/Tabela25[[#This Row],[PREÇO PRATICADO]]</f>
        <v>0.388974609375</v>
      </c>
    </row>
    <row r="55" spans="1:17" ht="15.75" customHeight="1" x14ac:dyDescent="0.3">
      <c r="A55" s="42">
        <v>110000023</v>
      </c>
      <c r="B55" s="28">
        <v>1100</v>
      </c>
      <c r="C55" s="28" t="str">
        <f>VLOOKUP(Tabela25[[#This Row],[GRUPO]],[1]Produto!H215:I576,2,0)</f>
        <v>Adicional</v>
      </c>
      <c r="D55" s="43" t="s">
        <v>73</v>
      </c>
      <c r="E55" s="44">
        <v>7</v>
      </c>
      <c r="F55" s="44">
        <v>7</v>
      </c>
      <c r="G55" s="21">
        <f>VLOOKUP(Tabela25[[#This Row],[CÓDIGO]],'[1]Estrutura Loja'!$B$3:$M$2941,5,0)</f>
        <v>6.152237095865476</v>
      </c>
      <c r="H55" s="45">
        <f t="shared" si="0"/>
        <v>0.84776290413452404</v>
      </c>
      <c r="I55" s="44">
        <v>7</v>
      </c>
      <c r="J5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0.2336682981927711</v>
      </c>
      <c r="K55" s="46">
        <f>Tabela25[[#This Row],[PREÇO PRATICADO]]*Tabela25[[#This Row],[LUCRO REAL %]]</f>
        <v>1.6356780873493977</v>
      </c>
      <c r="L55" s="24"/>
      <c r="M55" s="47">
        <f>IF(Tabela25[[#This Row],[QUANT. VENDA]]=0,0,((Tabela25[[#This Row],[CUSTO]]*Tabela25[[#This Row],[QUANT. VENDA]])/(Tabela25[[#This Row],[QUANT. VENDA]]*Tabela25[[#This Row],[PREÇO PRATICADO]])))</f>
        <v>0</v>
      </c>
      <c r="N55" s="48">
        <f>VLOOKUP(Tabela25[[#This Row],[CÓDIGO]],'[1]Estrutura Loja'!$B$3:$E$1825,4,0)</f>
        <v>1.7103219126506024</v>
      </c>
      <c r="O55" s="48">
        <f>Tabela25[[#This Row],[QUANT. VENDA]]*Tabela25[[#This Row],[PREÇO PRATICADO]]</f>
        <v>0</v>
      </c>
      <c r="P55" s="48">
        <f>Tabela25[[#This Row],[QUANT. VENDA]]*Tabela25[[#This Row],[CUSTO]]</f>
        <v>0</v>
      </c>
      <c r="Q55" s="49">
        <f>Tabela25[[#This Row],[CUSTO]]/Tabela25[[#This Row],[PREÇO PRATICADO]]</f>
        <v>0.24433170180722891</v>
      </c>
    </row>
    <row r="56" spans="1:17" ht="15.75" customHeight="1" x14ac:dyDescent="0.3">
      <c r="A56" s="42">
        <v>110000024</v>
      </c>
      <c r="B56" s="28">
        <v>1100</v>
      </c>
      <c r="C56" s="28" t="str">
        <f>VLOOKUP(Tabela25[[#This Row],[GRUPO]],[1]Produto!H216:I577,2,0)</f>
        <v>Adicional</v>
      </c>
      <c r="D56" s="43" t="s">
        <v>74</v>
      </c>
      <c r="E56" s="44">
        <v>3</v>
      </c>
      <c r="F56" s="44">
        <v>4</v>
      </c>
      <c r="G56" s="21">
        <f>VLOOKUP(Tabela25[[#This Row],[CÓDIGO]],'[1]Estrutura Loja'!$B$3:$M$2941,5,0)</f>
        <v>3.0510879101596768</v>
      </c>
      <c r="H56" s="45">
        <f t="shared" si="0"/>
        <v>-5.1087910159676841E-2</v>
      </c>
      <c r="I56" s="44">
        <v>3</v>
      </c>
      <c r="J5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0.19526585365853655</v>
      </c>
      <c r="K56" s="46">
        <f>Tabela25[[#This Row],[PREÇO PRATICADO]]*Tabela25[[#This Row],[LUCRO REAL %]]</f>
        <v>0.58579756097560964</v>
      </c>
      <c r="L56" s="24"/>
      <c r="M56" s="47">
        <f>IF(Tabela25[[#This Row],[QUANT. VENDA]]=0,0,((Tabela25[[#This Row],[CUSTO]]*Tabela25[[#This Row],[QUANT. VENDA]])/(Tabela25[[#This Row],[QUANT. VENDA]]*Tabela25[[#This Row],[PREÇO PRATICADO]])))</f>
        <v>0</v>
      </c>
      <c r="N56" s="48">
        <f>VLOOKUP(Tabela25[[#This Row],[CÓDIGO]],'[1]Estrutura Loja'!$B$3:$E$1825,4,0)</f>
        <v>0.8482024390243903</v>
      </c>
      <c r="O56" s="48">
        <f>Tabela25[[#This Row],[QUANT. VENDA]]*Tabela25[[#This Row],[PREÇO PRATICADO]]</f>
        <v>0</v>
      </c>
      <c r="P56" s="48">
        <f>Tabela25[[#This Row],[QUANT. VENDA]]*Tabela25[[#This Row],[CUSTO]]</f>
        <v>0</v>
      </c>
      <c r="Q56" s="49">
        <f>Tabela25[[#This Row],[CUSTO]]/Tabela25[[#This Row],[PREÇO PRATICADO]]</f>
        <v>0.28273414634146343</v>
      </c>
    </row>
    <row r="57" spans="1:17" ht="15.75" customHeight="1" x14ac:dyDescent="0.3">
      <c r="A57" s="42">
        <v>110000025</v>
      </c>
      <c r="B57" s="28">
        <v>1100</v>
      </c>
      <c r="C57" s="28" t="str">
        <f>VLOOKUP(Tabela25[[#This Row],[GRUPO]],[1]Produto!H217:I578,2,0)</f>
        <v>Adicional</v>
      </c>
      <c r="D57" s="43" t="s">
        <v>75</v>
      </c>
      <c r="E57" s="44">
        <v>3</v>
      </c>
      <c r="F57" s="44">
        <v>4</v>
      </c>
      <c r="G57" s="21">
        <f>VLOOKUP(Tabela25[[#This Row],[CÓDIGO]],'[1]Estrutura Loja'!$B$3:$M$2941,5,0)</f>
        <v>2.7968305843130374</v>
      </c>
      <c r="H57" s="45">
        <f t="shared" si="0"/>
        <v>0.20316941568696256</v>
      </c>
      <c r="I57" s="44">
        <v>3</v>
      </c>
      <c r="J5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0.21882703252032518</v>
      </c>
      <c r="K57" s="46">
        <f>Tabela25[[#This Row],[PREÇO PRATICADO]]*Tabela25[[#This Row],[LUCRO REAL %]]</f>
        <v>0.6564810975609755</v>
      </c>
      <c r="L57" s="24"/>
      <c r="M57" s="47">
        <f>IF(Tabela25[[#This Row],[QUANT. VENDA]]=0,0,((Tabela25[[#This Row],[CUSTO]]*Tabela25[[#This Row],[QUANT. VENDA]])/(Tabela25[[#This Row],[QUANT. VENDA]]*Tabela25[[#This Row],[PREÇO PRATICADO]])))</f>
        <v>0</v>
      </c>
      <c r="N57" s="48">
        <f>VLOOKUP(Tabela25[[#This Row],[CÓDIGO]],'[1]Estrutura Loja'!$B$3:$E$1825,4,0)</f>
        <v>0.77751890243902444</v>
      </c>
      <c r="O57" s="48">
        <f>Tabela25[[#This Row],[QUANT. VENDA]]*Tabela25[[#This Row],[PREÇO PRATICADO]]</f>
        <v>0</v>
      </c>
      <c r="P57" s="48">
        <f>Tabela25[[#This Row],[QUANT. VENDA]]*Tabela25[[#This Row],[CUSTO]]</f>
        <v>0</v>
      </c>
      <c r="Q57" s="49">
        <f>Tabela25[[#This Row],[CUSTO]]/Tabela25[[#This Row],[PREÇO PRATICADO]]</f>
        <v>0.25917296747967483</v>
      </c>
    </row>
    <row r="58" spans="1:17" ht="15.75" customHeight="1" x14ac:dyDescent="0.3">
      <c r="A58" s="42">
        <v>110000026</v>
      </c>
      <c r="B58" s="28">
        <v>1100</v>
      </c>
      <c r="C58" s="28" t="str">
        <f>VLOOKUP(Tabela25[[#This Row],[GRUPO]],[1]Produto!H218:I579,2,0)</f>
        <v>Adicional</v>
      </c>
      <c r="D58" s="43" t="s">
        <v>76</v>
      </c>
      <c r="E58" s="44">
        <v>3</v>
      </c>
      <c r="F58" s="44">
        <v>4</v>
      </c>
      <c r="G58" s="21">
        <f>VLOOKUP(Tabela25[[#This Row],[CÓDIGO]],'[1]Estrutura Loja'!$B$3:$M$2941,5,0)</f>
        <v>3.5134672749605191</v>
      </c>
      <c r="H58" s="45">
        <f t="shared" si="0"/>
        <v>-0.51346727496051914</v>
      </c>
      <c r="I58" s="44">
        <v>3</v>
      </c>
      <c r="J5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0.15241869918699183</v>
      </c>
      <c r="K58" s="46">
        <f>Tabela25[[#This Row],[PREÇO PRATICADO]]*Tabela25[[#This Row],[LUCRO REAL %]]</f>
        <v>0.45725609756097552</v>
      </c>
      <c r="L58" s="24"/>
      <c r="M58" s="47">
        <f>IF(Tabela25[[#This Row],[QUANT. VENDA]]=0,0,((Tabela25[[#This Row],[CUSTO]]*Tabela25[[#This Row],[QUANT. VENDA]])/(Tabela25[[#This Row],[QUANT. VENDA]]*Tabela25[[#This Row],[PREÇO PRATICADO]])))</f>
        <v>0</v>
      </c>
      <c r="N58" s="48">
        <f>VLOOKUP(Tabela25[[#This Row],[CÓDIGO]],'[1]Estrutura Loja'!$B$3:$E$1825,4,0)</f>
        <v>0.97674390243902443</v>
      </c>
      <c r="O58" s="48">
        <f>Tabela25[[#This Row],[QUANT. VENDA]]*Tabela25[[#This Row],[PREÇO PRATICADO]]</f>
        <v>0</v>
      </c>
      <c r="P58" s="48">
        <f>Tabela25[[#This Row],[QUANT. VENDA]]*Tabela25[[#This Row],[CUSTO]]</f>
        <v>0</v>
      </c>
      <c r="Q58" s="49">
        <f>Tabela25[[#This Row],[CUSTO]]/Tabela25[[#This Row],[PREÇO PRATICADO]]</f>
        <v>0.32558130081300812</v>
      </c>
    </row>
    <row r="59" spans="1:17" ht="15.75" customHeight="1" x14ac:dyDescent="0.3">
      <c r="A59" s="42">
        <v>110000027</v>
      </c>
      <c r="B59" s="28">
        <v>1100</v>
      </c>
      <c r="C59" s="28" t="str">
        <f>VLOOKUP(Tabela25[[#This Row],[GRUPO]],[1]Produto!H218:I581,2,0)</f>
        <v>Adicional</v>
      </c>
      <c r="D59" s="43" t="s">
        <v>77</v>
      </c>
      <c r="E59" s="44">
        <v>4</v>
      </c>
      <c r="F59" s="44">
        <v>5</v>
      </c>
      <c r="G59" s="21">
        <f>VLOOKUP(Tabela25[[#This Row],[CÓDIGO]],'[1]Estrutura Loja'!$B$3:$M$2941,5,0)</f>
        <v>3.0161870503597119</v>
      </c>
      <c r="H59" s="45">
        <f t="shared" si="0"/>
        <v>0.98381294964028809</v>
      </c>
      <c r="I59" s="44">
        <v>4</v>
      </c>
      <c r="J5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0.26837499999999997</v>
      </c>
      <c r="K59" s="46">
        <f>Tabela25[[#This Row],[PREÇO PRATICADO]]*Tabela25[[#This Row],[LUCRO REAL %]]</f>
        <v>1.0734999999999999</v>
      </c>
      <c r="L59" s="24"/>
      <c r="M59" s="47">
        <f>IF(Tabela25[[#This Row],[QUANT. VENDA]]=0,0,((Tabela25[[#This Row],[CUSTO]]*Tabela25[[#This Row],[QUANT. VENDA]])/(Tabela25[[#This Row],[QUANT. VENDA]]*Tabela25[[#This Row],[PREÇO PRATICADO]])))</f>
        <v>0</v>
      </c>
      <c r="N59" s="48">
        <f>VLOOKUP(Tabela25[[#This Row],[CÓDIGO]],'[1]Estrutura Loja'!$B$3:$E$1825,4,0)</f>
        <v>0.83850000000000002</v>
      </c>
      <c r="O59" s="48">
        <f>Tabela25[[#This Row],[QUANT. VENDA]]*Tabela25[[#This Row],[PREÇO PRATICADO]]</f>
        <v>0</v>
      </c>
      <c r="P59" s="48">
        <f>Tabela25[[#This Row],[QUANT. VENDA]]*Tabela25[[#This Row],[CUSTO]]</f>
        <v>0</v>
      </c>
      <c r="Q59" s="49">
        <f>Tabela25[[#This Row],[CUSTO]]/Tabela25[[#This Row],[PREÇO PRATICADO]]</f>
        <v>0.20962500000000001</v>
      </c>
    </row>
    <row r="60" spans="1:17" ht="15.75" customHeight="1" x14ac:dyDescent="0.3">
      <c r="A60" s="42">
        <v>110000028</v>
      </c>
      <c r="B60" s="28">
        <v>1100</v>
      </c>
      <c r="C60" s="28" t="str">
        <f>VLOOKUP(Tabela25[[#This Row],[GRUPO]],[1]Produto!H219:I583,2,0)</f>
        <v>Adicional</v>
      </c>
      <c r="D60" s="43" t="s">
        <v>78</v>
      </c>
      <c r="E60" s="44">
        <v>2.5</v>
      </c>
      <c r="F60" s="44">
        <v>3.5</v>
      </c>
      <c r="G60" s="21">
        <f>VLOOKUP(Tabela25[[#This Row],[CÓDIGO]],'[1]Estrutura Loja'!$B$3:$M$2941,5,0)</f>
        <v>2.0107913669064743</v>
      </c>
      <c r="H60" s="45">
        <f t="shared" si="0"/>
        <v>0.48920863309352569</v>
      </c>
      <c r="I60" s="44">
        <v>2.5</v>
      </c>
      <c r="J6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0.25439999999999996</v>
      </c>
      <c r="K60" s="46">
        <f>Tabela25[[#This Row],[PREÇO PRATICADO]]*Tabela25[[#This Row],[LUCRO REAL %]]</f>
        <v>0.6359999999999999</v>
      </c>
      <c r="L60" s="24"/>
      <c r="M60" s="47">
        <f>IF(Tabela25[[#This Row],[QUANT. VENDA]]=0,0,((Tabela25[[#This Row],[CUSTO]]*Tabela25[[#This Row],[QUANT. VENDA]])/(Tabela25[[#This Row],[QUANT. VENDA]]*Tabela25[[#This Row],[PREÇO PRATICADO]])))</f>
        <v>0</v>
      </c>
      <c r="N60" s="48">
        <f>VLOOKUP(Tabela25[[#This Row],[CÓDIGO]],'[1]Estrutura Loja'!$B$3:$E$1825,4,0)</f>
        <v>0.55899999999999994</v>
      </c>
      <c r="O60" s="48">
        <f>Tabela25[[#This Row],[QUANT. VENDA]]*Tabela25[[#This Row],[PREÇO PRATICADO]]</f>
        <v>0</v>
      </c>
      <c r="P60" s="48">
        <f>Tabela25[[#This Row],[QUANT. VENDA]]*Tabela25[[#This Row],[CUSTO]]</f>
        <v>0</v>
      </c>
      <c r="Q60" s="49">
        <f>Tabela25[[#This Row],[CUSTO]]/Tabela25[[#This Row],[PREÇO PRATICADO]]</f>
        <v>0.22359999999999997</v>
      </c>
    </row>
    <row r="61" spans="1:17" ht="15.75" customHeight="1" x14ac:dyDescent="0.3">
      <c r="A61" s="42">
        <v>110000029</v>
      </c>
      <c r="B61" s="28">
        <v>1100</v>
      </c>
      <c r="C61" s="28" t="str">
        <f>VLOOKUP(Tabela25[[#This Row],[GRUPO]],[1]Produto!H224:I584,2,0)</f>
        <v>Adicional</v>
      </c>
      <c r="D61" s="43" t="s">
        <v>79</v>
      </c>
      <c r="E61" s="44">
        <v>7.5</v>
      </c>
      <c r="F61" s="44">
        <v>8.5</v>
      </c>
      <c r="G61" s="21">
        <f>VLOOKUP(Tabela25[[#This Row],[CÓDIGO]],'[1]Estrutura Loja'!$B$3:$M$2941,5,0)</f>
        <v>7.5876258992805754</v>
      </c>
      <c r="H61" s="45">
        <f t="shared" si="0"/>
        <v>-8.7625899280575403E-2</v>
      </c>
      <c r="I61" s="44">
        <v>7.5</v>
      </c>
      <c r="J6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0.19675199999999998</v>
      </c>
      <c r="K61" s="46">
        <f>Tabela25[[#This Row],[PREÇO PRATICADO]]*Tabela25[[#This Row],[LUCRO REAL %]]</f>
        <v>1.4756399999999998</v>
      </c>
      <c r="L61" s="24"/>
      <c r="M61" s="47">
        <f>IF(Tabela25[[#This Row],[QUANT. VENDA]]=0,0,((Tabela25[[#This Row],[CUSTO]]*Tabela25[[#This Row],[QUANT. VENDA]])/(Tabela25[[#This Row],[QUANT. VENDA]]*Tabela25[[#This Row],[PREÇO PRATICADO]])))</f>
        <v>0</v>
      </c>
      <c r="N61" s="48">
        <f>VLOOKUP(Tabela25[[#This Row],[CÓDIGO]],'[1]Estrutura Loja'!$B$3:$E$1825,4,0)</f>
        <v>2.1093600000000001</v>
      </c>
      <c r="O61" s="48">
        <f>Tabela25[[#This Row],[QUANT. VENDA]]*Tabela25[[#This Row],[PREÇO PRATICADO]]</f>
        <v>0</v>
      </c>
      <c r="P61" s="48">
        <f>Tabela25[[#This Row],[QUANT. VENDA]]*Tabela25[[#This Row],[CUSTO]]</f>
        <v>0</v>
      </c>
      <c r="Q61" s="49">
        <f>Tabela25[[#This Row],[CUSTO]]/Tabela25[[#This Row],[PREÇO PRATICADO]]</f>
        <v>0.281248</v>
      </c>
    </row>
    <row r="62" spans="1:17" ht="15.75" customHeight="1" x14ac:dyDescent="0.3">
      <c r="A62" s="42">
        <v>110000030</v>
      </c>
      <c r="B62" s="28">
        <v>1100</v>
      </c>
      <c r="C62" s="28" t="str">
        <f>VLOOKUP(Tabela25[[#This Row],[GRUPO]],[1]Produto!H225:I585,2,0)</f>
        <v>Adicional</v>
      </c>
      <c r="D62" s="43" t="s">
        <v>80</v>
      </c>
      <c r="E62" s="44">
        <v>4</v>
      </c>
      <c r="F62" s="44">
        <v>5</v>
      </c>
      <c r="G62" s="21">
        <f>VLOOKUP(Tabela25[[#This Row],[CÓDIGO]],'[1]Estrutura Loja'!$B$3:$M$2941,5,0)</f>
        <v>3.7938129496402877</v>
      </c>
      <c r="H62" s="45">
        <f t="shared" si="0"/>
        <v>0.2061870503597123</v>
      </c>
      <c r="I62" s="44">
        <v>4</v>
      </c>
      <c r="J6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0.21432999999999996</v>
      </c>
      <c r="K62" s="46">
        <f>Tabela25[[#This Row],[PREÇO PRATICADO]]*Tabela25[[#This Row],[LUCRO REAL %]]</f>
        <v>0.85731999999999986</v>
      </c>
      <c r="L62" s="24"/>
      <c r="M62" s="47">
        <f>IF(Tabela25[[#This Row],[QUANT. VENDA]]=0,0,((Tabela25[[#This Row],[CUSTO]]*Tabela25[[#This Row],[QUANT. VENDA]])/(Tabela25[[#This Row],[QUANT. VENDA]]*Tabela25[[#This Row],[PREÇO PRATICADO]])))</f>
        <v>0</v>
      </c>
      <c r="N62" s="48">
        <f>VLOOKUP(Tabela25[[#This Row],[CÓDIGO]],'[1]Estrutura Loja'!$B$3:$E$1825,4,0)</f>
        <v>1.0546800000000001</v>
      </c>
      <c r="O62" s="48">
        <f>Tabela25[[#This Row],[QUANT. VENDA]]*Tabela25[[#This Row],[PREÇO PRATICADO]]</f>
        <v>0</v>
      </c>
      <c r="P62" s="48">
        <f>Tabela25[[#This Row],[QUANT. VENDA]]*Tabela25[[#This Row],[CUSTO]]</f>
        <v>0</v>
      </c>
      <c r="Q62" s="49">
        <f>Tabela25[[#This Row],[CUSTO]]/Tabela25[[#This Row],[PREÇO PRATICADO]]</f>
        <v>0.26367000000000002</v>
      </c>
    </row>
    <row r="63" spans="1:17" ht="15.75" customHeight="1" x14ac:dyDescent="0.3">
      <c r="A63" s="42">
        <v>110000031</v>
      </c>
      <c r="B63" s="28">
        <v>1100</v>
      </c>
      <c r="C63" s="28" t="str">
        <f>VLOOKUP(Tabela25[[#This Row],[GRUPO]],[1]Produto!H226:I586,2,0)</f>
        <v>Adicional</v>
      </c>
      <c r="D63" s="43" t="s">
        <v>81</v>
      </c>
      <c r="E63" s="44">
        <v>4</v>
      </c>
      <c r="F63" s="44">
        <v>4</v>
      </c>
      <c r="G63" s="21">
        <f>VLOOKUP(Tabela25[[#This Row],[CÓDIGO]],'[1]Estrutura Loja'!$B$3:$M$2941,5,0)</f>
        <v>3.0043651079136682</v>
      </c>
      <c r="H63" s="45">
        <f t="shared" si="0"/>
        <v>0.99563489208633182</v>
      </c>
      <c r="I63" s="44">
        <v>4</v>
      </c>
      <c r="J6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0.26919662500000002</v>
      </c>
      <c r="K63" s="46">
        <f>Tabela25[[#This Row],[PREÇO PRATICADO]]*Tabela25[[#This Row],[LUCRO REAL %]]</f>
        <v>1.0767865000000001</v>
      </c>
      <c r="L63" s="24"/>
      <c r="M63" s="47">
        <f>IF(Tabela25[[#This Row],[QUANT. VENDA]]=0,0,((Tabela25[[#This Row],[CUSTO]]*Tabela25[[#This Row],[QUANT. VENDA]])/(Tabela25[[#This Row],[QUANT. VENDA]]*Tabela25[[#This Row],[PREÇO PRATICADO]])))</f>
        <v>0</v>
      </c>
      <c r="N63" s="48">
        <f>VLOOKUP(Tabela25[[#This Row],[CÓDIGO]],'[1]Estrutura Loja'!$B$3:$E$1825,4,0)</f>
        <v>0.83521349999999983</v>
      </c>
      <c r="O63" s="48">
        <f>Tabela25[[#This Row],[QUANT. VENDA]]*Tabela25[[#This Row],[PREÇO PRATICADO]]</f>
        <v>0</v>
      </c>
      <c r="P63" s="48">
        <f>Tabela25[[#This Row],[QUANT. VENDA]]*Tabela25[[#This Row],[CUSTO]]</f>
        <v>0</v>
      </c>
      <c r="Q63" s="49">
        <f>Tabela25[[#This Row],[CUSTO]]/Tabela25[[#This Row],[PREÇO PRATICADO]]</f>
        <v>0.20880337499999996</v>
      </c>
    </row>
    <row r="64" spans="1:17" ht="15.75" customHeight="1" x14ac:dyDescent="0.3">
      <c r="A64" s="42">
        <v>110000032</v>
      </c>
      <c r="B64" s="28">
        <v>1100</v>
      </c>
      <c r="C64" s="28" t="str">
        <f>VLOOKUP(Tabela25[[#This Row],[GRUPO]],[1]Produto!H290:I592,2,0)</f>
        <v>Adicional</v>
      </c>
      <c r="D64" s="35" t="s">
        <v>82</v>
      </c>
      <c r="E64" s="50">
        <v>4</v>
      </c>
      <c r="F64" s="50">
        <v>4</v>
      </c>
      <c r="G64" s="21">
        <f>VLOOKUP(Tabela25[[#This Row],[CÓDIGO]],'[1]Estrutura Loja'!$B$3:$M$2941,5,0)</f>
        <v>3.7546402877697829</v>
      </c>
      <c r="H64" s="39">
        <f t="shared" si="0"/>
        <v>0.24535971223021713</v>
      </c>
      <c r="I64" s="50">
        <v>4</v>
      </c>
      <c r="J6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0.21705250000000004</v>
      </c>
      <c r="K64" s="46">
        <f>Tabela25[[#This Row],[PREÇO PRATICADO]]*Tabela25[[#This Row],[LUCRO REAL %]]</f>
        <v>0.86821000000000015</v>
      </c>
      <c r="L64" s="24"/>
      <c r="M64" s="47">
        <f>IF(Tabela25[[#This Row],[QUANT. VENDA]]=0,0,((Tabela25[[#This Row],[CUSTO]]*Tabela25[[#This Row],[QUANT. VENDA]])/(Tabela25[[#This Row],[QUANT. VENDA]]*Tabela25[[#This Row],[PREÇO PRATICADO]])))</f>
        <v>0</v>
      </c>
      <c r="N64" s="48">
        <f>VLOOKUP(Tabela25[[#This Row],[CÓDIGO]],'[1]Estrutura Loja'!$B$3:$E$1825,4,0)</f>
        <v>1.0437899999999998</v>
      </c>
      <c r="O64" s="48">
        <f>Tabela25[[#This Row],[QUANT. VENDA]]*Tabela25[[#This Row],[PREÇO PRATICADO]]</f>
        <v>0</v>
      </c>
      <c r="P64" s="48">
        <f>Tabela25[[#This Row],[QUANT. VENDA]]*Tabela25[[#This Row],[CUSTO]]</f>
        <v>0</v>
      </c>
      <c r="Q64" s="49">
        <f>Tabela25[[#This Row],[CUSTO]]/Tabela25[[#This Row],[PREÇO PRATICADO]]</f>
        <v>0.26094749999999994</v>
      </c>
    </row>
    <row r="65" spans="1:17" ht="15.75" customHeight="1" x14ac:dyDescent="0.3">
      <c r="A65" s="42">
        <v>110000033</v>
      </c>
      <c r="B65" s="28">
        <v>1100</v>
      </c>
      <c r="C65" s="28" t="str">
        <f>VLOOKUP(Tabela25[[#This Row],[GRUPO]],[1]Produto!H290:I593,2,0)</f>
        <v>Adicional</v>
      </c>
      <c r="D65" s="35" t="s">
        <v>83</v>
      </c>
      <c r="E65" s="50">
        <v>8.5</v>
      </c>
      <c r="F65" s="50">
        <v>9</v>
      </c>
      <c r="G65" s="21">
        <f>VLOOKUP(Tabela25[[#This Row],[CÓDIGO]],'[1]Estrutura Loja'!$B$3:$M$2941,5,0)</f>
        <v>9.5112410071942435</v>
      </c>
      <c r="H65" s="39">
        <f t="shared" si="0"/>
        <v>-1.0112410071942435</v>
      </c>
      <c r="I65" s="50">
        <v>8.5</v>
      </c>
      <c r="J6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0.16692647058823529</v>
      </c>
      <c r="K65" s="46">
        <f>Tabela25[[#This Row],[PREÇO PRATICADO]]*Tabela25[[#This Row],[LUCRO REAL %]]</f>
        <v>1.4188749999999999</v>
      </c>
      <c r="L65" s="24"/>
      <c r="M65" s="47">
        <f>IF(Tabela25[[#This Row],[QUANT. VENDA]]=0,0,((Tabela25[[#This Row],[CUSTO]]*Tabela25[[#This Row],[QUANT. VENDA]])/(Tabela25[[#This Row],[QUANT. VENDA]]*Tabela25[[#This Row],[PREÇO PRATICADO]])))</f>
        <v>0</v>
      </c>
      <c r="N65" s="48">
        <f>VLOOKUP(Tabela25[[#This Row],[CÓDIGO]],'[1]Estrutura Loja'!$B$3:$E$1825,4,0)</f>
        <v>2.6441249999999998</v>
      </c>
      <c r="O65" s="48">
        <f>Tabela25[[#This Row],[QUANT. VENDA]]*Tabela25[[#This Row],[PREÇO PRATICADO]]</f>
        <v>0</v>
      </c>
      <c r="P65" s="48">
        <f>Tabela25[[#This Row],[QUANT. VENDA]]*Tabela25[[#This Row],[CUSTO]]</f>
        <v>0</v>
      </c>
      <c r="Q65" s="49">
        <f>Tabela25[[#This Row],[CUSTO]]/Tabela25[[#This Row],[PREÇO PRATICADO]]</f>
        <v>0.31107352941176469</v>
      </c>
    </row>
    <row r="66" spans="1:17" ht="15.75" customHeight="1" x14ac:dyDescent="0.3">
      <c r="A66" s="42">
        <v>110000034</v>
      </c>
      <c r="B66" s="28">
        <v>1100</v>
      </c>
      <c r="C66" s="28" t="str">
        <f>VLOOKUP(Tabela25[[#This Row],[GRUPO]],[1]Produto!H291:I594,2,0)</f>
        <v>Adicional</v>
      </c>
      <c r="D66" s="35" t="s">
        <v>84</v>
      </c>
      <c r="E66" s="50">
        <v>1</v>
      </c>
      <c r="F66" s="50">
        <v>2</v>
      </c>
      <c r="G66" s="21">
        <f>VLOOKUP(Tabela25[[#This Row],[CÓDIGO]],'[1]Estrutura Loja'!$B$3:$M$2941,5,0)</f>
        <v>0.4075359712230216</v>
      </c>
      <c r="H66" s="39">
        <f t="shared" si="0"/>
        <v>0.59246402877697846</v>
      </c>
      <c r="I66" s="50">
        <v>1</v>
      </c>
      <c r="J6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0.36470499999999995</v>
      </c>
      <c r="K66" s="46">
        <f>Tabela25[[#This Row],[PREÇO PRATICADO]]*Tabela25[[#This Row],[LUCRO REAL %]]</f>
        <v>0.36470499999999995</v>
      </c>
      <c r="L66" s="24"/>
      <c r="M66" s="47">
        <f>IF(Tabela25[[#This Row],[QUANT. VENDA]]=0,0,((Tabela25[[#This Row],[CUSTO]]*Tabela25[[#This Row],[QUANT. VENDA]])/(Tabela25[[#This Row],[QUANT. VENDA]]*Tabela25[[#This Row],[PREÇO PRATICADO]])))</f>
        <v>0</v>
      </c>
      <c r="N66" s="48">
        <f>VLOOKUP(Tabela25[[#This Row],[CÓDIGO]],'[1]Estrutura Loja'!$B$3:$E$1825,4,0)</f>
        <v>0.11329500000000001</v>
      </c>
      <c r="O66" s="48">
        <f>Tabela25[[#This Row],[QUANT. VENDA]]*Tabela25[[#This Row],[PREÇO PRATICADO]]</f>
        <v>0</v>
      </c>
      <c r="P66" s="48">
        <f>Tabela25[[#This Row],[QUANT. VENDA]]*Tabela25[[#This Row],[CUSTO]]</f>
        <v>0</v>
      </c>
      <c r="Q66" s="49">
        <f>Tabela25[[#This Row],[CUSTO]]/Tabela25[[#This Row],[PREÇO PRATICADO]]</f>
        <v>0.11329500000000001</v>
      </c>
    </row>
    <row r="67" spans="1:17" ht="15.75" customHeight="1" x14ac:dyDescent="0.3">
      <c r="A67" s="42">
        <v>110000035</v>
      </c>
      <c r="B67" s="28">
        <v>1100</v>
      </c>
      <c r="C67" s="28" t="str">
        <f>VLOOKUP(Tabela25[[#This Row],[GRUPO]],[1]Produto!H292:I596,2,0)</f>
        <v>Adicional</v>
      </c>
      <c r="D67" s="35" t="s">
        <v>85</v>
      </c>
      <c r="E67" s="50">
        <v>1</v>
      </c>
      <c r="F67" s="50">
        <v>1</v>
      </c>
      <c r="G67" s="21">
        <f>VLOOKUP(Tabela25[[#This Row],[CÓDIGO]],'[1]Estrutura Loja'!$B$3:$M$2941,5,0)</f>
        <v>0.64996913360400788</v>
      </c>
      <c r="H67" s="39">
        <f t="shared" si="0"/>
        <v>0.35003086639599212</v>
      </c>
      <c r="I67" s="50">
        <v>1</v>
      </c>
      <c r="J6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0.29730858085808576</v>
      </c>
      <c r="K67" s="46">
        <f>Tabela25[[#This Row],[PREÇO PRATICADO]]*Tabela25[[#This Row],[LUCRO REAL %]]</f>
        <v>0.29730858085808576</v>
      </c>
      <c r="L67" s="24"/>
      <c r="M67" s="47">
        <f>IF(Tabela25[[#This Row],[QUANT. VENDA]]=0,0,((Tabela25[[#This Row],[CUSTO]]*Tabela25[[#This Row],[QUANT. VENDA]])/(Tabela25[[#This Row],[QUANT. VENDA]]*Tabela25[[#This Row],[PREÇO PRATICADO]])))</f>
        <v>0</v>
      </c>
      <c r="N67" s="48">
        <f>VLOOKUP(Tabela25[[#This Row],[CÓDIGO]],'[1]Estrutura Loja'!$B$3:$E$1825,4,0)</f>
        <v>0.18069141914191419</v>
      </c>
      <c r="O67" s="48">
        <f>Tabela25[[#This Row],[QUANT. VENDA]]*Tabela25[[#This Row],[PREÇO PRATICADO]]</f>
        <v>0</v>
      </c>
      <c r="P67" s="48">
        <f>Tabela25[[#This Row],[QUANT. VENDA]]*Tabela25[[#This Row],[CUSTO]]</f>
        <v>0</v>
      </c>
      <c r="Q67" s="49">
        <f>Tabela25[[#This Row],[CUSTO]]/Tabela25[[#This Row],[PREÇO PRATICADO]]</f>
        <v>0.18069141914191419</v>
      </c>
    </row>
    <row r="68" spans="1:17" ht="15.75" customHeight="1" x14ac:dyDescent="0.3">
      <c r="A68" s="42">
        <v>110000036</v>
      </c>
      <c r="B68" s="28">
        <v>1100</v>
      </c>
      <c r="C68" s="28" t="str">
        <f>VLOOKUP(Tabela25[[#This Row],[GRUPO]],[1]Produto!H294:I598,2,0)</f>
        <v>Adicional</v>
      </c>
      <c r="D68" s="43" t="s">
        <v>86</v>
      </c>
      <c r="E68" s="50">
        <v>1</v>
      </c>
      <c r="F68" s="50">
        <v>1</v>
      </c>
      <c r="G68" s="21">
        <f>VLOOKUP(Tabela25[[#This Row],[CÓDIGO]],'[1]Estrutura Loja'!$B$3:$M$2941,5,0)</f>
        <v>0.71031293776859694</v>
      </c>
      <c r="H68" s="39">
        <f t="shared" si="0"/>
        <v>0.28968706223140306</v>
      </c>
      <c r="I68" s="50">
        <v>1</v>
      </c>
      <c r="J6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0.28053300330033004</v>
      </c>
      <c r="K68" s="46">
        <f>Tabela25[[#This Row],[PREÇO PRATICADO]]*Tabela25[[#This Row],[LUCRO REAL %]]</f>
        <v>0.28053300330033004</v>
      </c>
      <c r="L68" s="24"/>
      <c r="M68" s="47">
        <f>IF(Tabela25[[#This Row],[QUANT. VENDA]]=0,0,((Tabela25[[#This Row],[CUSTO]]*Tabela25[[#This Row],[QUANT. VENDA]])/(Tabela25[[#This Row],[QUANT. VENDA]]*Tabela25[[#This Row],[PREÇO PRATICADO]])))</f>
        <v>0</v>
      </c>
      <c r="N68" s="48">
        <f>VLOOKUP(Tabela25[[#This Row],[CÓDIGO]],'[1]Estrutura Loja'!$B$3:$E$1825,4,0)</f>
        <v>0.19746699669966997</v>
      </c>
      <c r="O68" s="48">
        <f>Tabela25[[#This Row],[QUANT. VENDA]]*Tabela25[[#This Row],[PREÇO PRATICADO]]</f>
        <v>0</v>
      </c>
      <c r="P68" s="48">
        <f>Tabela25[[#This Row],[QUANT. VENDA]]*Tabela25[[#This Row],[CUSTO]]</f>
        <v>0</v>
      </c>
      <c r="Q68" s="49">
        <f>Tabela25[[#This Row],[CUSTO]]/Tabela25[[#This Row],[PREÇO PRATICADO]]</f>
        <v>0.19746699669966997</v>
      </c>
    </row>
    <row r="69" spans="1:17" ht="15.75" customHeight="1" x14ac:dyDescent="0.3">
      <c r="A69" s="42">
        <v>110000037</v>
      </c>
      <c r="B69" s="28">
        <v>1100</v>
      </c>
      <c r="C69" s="28" t="str">
        <f>VLOOKUP(Tabela25[[#This Row],[GRUPO]],[1]Produto!H295:I599,2,0)</f>
        <v>Adicional</v>
      </c>
      <c r="D69" s="43" t="s">
        <v>87</v>
      </c>
      <c r="E69" s="50">
        <v>1</v>
      </c>
      <c r="F69" s="50">
        <v>1</v>
      </c>
      <c r="G69" s="21">
        <f>VLOOKUP(Tabela25[[#This Row],[CÓDIGO]],'[1]Estrutura Loja'!$B$3:$M$2941,5,0)</f>
        <v>0.64526200821520996</v>
      </c>
      <c r="H69" s="39">
        <f t="shared" ref="H69:H132" si="1">E69-G69</f>
        <v>0.35473799178479004</v>
      </c>
      <c r="I69" s="50">
        <v>1</v>
      </c>
      <c r="J6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0.29861716171617159</v>
      </c>
      <c r="K69" s="46">
        <f>Tabela25[[#This Row],[PREÇO PRATICADO]]*Tabela25[[#This Row],[LUCRO REAL %]]</f>
        <v>0.29861716171617159</v>
      </c>
      <c r="L69" s="24"/>
      <c r="M69" s="47">
        <f>IF(Tabela25[[#This Row],[QUANT. VENDA]]=0,0,((Tabela25[[#This Row],[CUSTO]]*Tabela25[[#This Row],[QUANT. VENDA]])/(Tabela25[[#This Row],[QUANT. VENDA]]*Tabela25[[#This Row],[PREÇO PRATICADO]])))</f>
        <v>0</v>
      </c>
      <c r="N69" s="48">
        <f>VLOOKUP(Tabela25[[#This Row],[CÓDIGO]],'[1]Estrutura Loja'!$B$3:$E$1825,4,0)</f>
        <v>0.17938283828382839</v>
      </c>
      <c r="O69" s="48">
        <f>Tabela25[[#This Row],[QUANT. VENDA]]*Tabela25[[#This Row],[PREÇO PRATICADO]]</f>
        <v>0</v>
      </c>
      <c r="P69" s="48">
        <f>Tabela25[[#This Row],[QUANT. VENDA]]*Tabela25[[#This Row],[CUSTO]]</f>
        <v>0</v>
      </c>
      <c r="Q69" s="49">
        <f>Tabela25[[#This Row],[CUSTO]]/Tabela25[[#This Row],[PREÇO PRATICADO]]</f>
        <v>0.17938283828382839</v>
      </c>
    </row>
    <row r="70" spans="1:17" ht="15.75" customHeight="1" x14ac:dyDescent="0.3">
      <c r="A70" s="42">
        <v>110000038</v>
      </c>
      <c r="B70" s="28">
        <v>1100</v>
      </c>
      <c r="C70" s="34" t="str">
        <f>VLOOKUP(Tabela25[[#This Row],[GRUPO]],[1]Produto!H58:I400,2,0)</f>
        <v>Adicional</v>
      </c>
      <c r="D70" s="51" t="s">
        <v>88</v>
      </c>
      <c r="E70" s="36">
        <v>1.5</v>
      </c>
      <c r="F70" s="36">
        <v>3</v>
      </c>
      <c r="G70" s="21">
        <f>VLOOKUP(Tabela25[[#This Row],[CÓDIGO]],'[1]Estrutura Loja'!$B$3:$M$2941,5,0)</f>
        <v>1.717390839803405</v>
      </c>
      <c r="H70" s="37">
        <f t="shared" si="1"/>
        <v>-0.21739083980340501</v>
      </c>
      <c r="I70" s="36">
        <v>1.5</v>
      </c>
      <c r="J70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0.15971023102310222</v>
      </c>
      <c r="K70" s="53">
        <f>Tabela25[[#This Row],[PREÇO PRATICADO]]*Tabela25[[#This Row],[LUCRO REAL %]]</f>
        <v>0.23956534653465333</v>
      </c>
      <c r="L70" s="24"/>
      <c r="M70" s="54">
        <f>IF(Tabela25[[#This Row],[QUANT. VENDA]]=0,0,((Tabela25[[#This Row],[CUSTO]]*Tabela25[[#This Row],[QUANT. VENDA]])/(Tabela25[[#This Row],[QUANT. VENDA]]*Tabela25[[#This Row],[PREÇO PRATICADO]])))</f>
        <v>0</v>
      </c>
      <c r="N70" s="39">
        <f>VLOOKUP(Tabela25[[#This Row],[CÓDIGO]],'[1]Estrutura Loja'!$B$3:$E$1825,4,0)</f>
        <v>0.47743465346534664</v>
      </c>
      <c r="O70" s="39">
        <f>Tabela25[[#This Row],[QUANT. VENDA]]*Tabela25[[#This Row],[PREÇO PRATICADO]]</f>
        <v>0</v>
      </c>
      <c r="P70" s="39">
        <f>Tabela25[[#This Row],[QUANT. VENDA]]*Tabela25[[#This Row],[CUSTO]]</f>
        <v>0</v>
      </c>
      <c r="Q70" s="55">
        <f>Tabela25[[#This Row],[CUSTO]]/Tabela25[[#This Row],[PREÇO PRATICADO]]</f>
        <v>0.31828976897689776</v>
      </c>
    </row>
    <row r="71" spans="1:17" ht="15.75" customHeight="1" x14ac:dyDescent="0.3">
      <c r="A71" s="42">
        <v>110000039</v>
      </c>
      <c r="B71" s="28">
        <v>1100</v>
      </c>
      <c r="C71" s="34" t="str">
        <f>VLOOKUP(Tabela25[[#This Row],[GRUPO]],[1]Produto!H59:I402,2,0)</f>
        <v>Adicional</v>
      </c>
      <c r="D71" s="51" t="s">
        <v>89</v>
      </c>
      <c r="E71" s="36">
        <v>1.5</v>
      </c>
      <c r="F71" s="36">
        <v>3</v>
      </c>
      <c r="G71" s="21">
        <f>VLOOKUP(Tabela25[[#This Row],[CÓDIGO]],'[1]Estrutura Loja'!$B$3:$M$2941,5,0)</f>
        <v>1.2768705035971222</v>
      </c>
      <c r="H71" s="37">
        <f t="shared" si="1"/>
        <v>0.22312949640287782</v>
      </c>
      <c r="I71" s="36">
        <v>1.5</v>
      </c>
      <c r="J71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0.24135333333333331</v>
      </c>
      <c r="K71" s="53">
        <f>Tabela25[[#This Row],[PREÇO PRATICADO]]*Tabela25[[#This Row],[LUCRO REAL %]]</f>
        <v>0.36202999999999996</v>
      </c>
      <c r="L71" s="24"/>
      <c r="M71" s="54">
        <f>IF(Tabela25[[#This Row],[QUANT. VENDA]]=0,0,((Tabela25[[#This Row],[CUSTO]]*Tabela25[[#This Row],[QUANT. VENDA]])/(Tabela25[[#This Row],[QUANT. VENDA]]*Tabela25[[#This Row],[PREÇO PRATICADO]])))</f>
        <v>0</v>
      </c>
      <c r="N71" s="39">
        <f>VLOOKUP(Tabela25[[#This Row],[CÓDIGO]],'[1]Estrutura Loja'!$B$3:$E$1825,4,0)</f>
        <v>0.35497000000000001</v>
      </c>
      <c r="O71" s="39">
        <f>Tabela25[[#This Row],[QUANT. VENDA]]*Tabela25[[#This Row],[PREÇO PRATICADO]]</f>
        <v>0</v>
      </c>
      <c r="P71" s="39">
        <f>Tabela25[[#This Row],[QUANT. VENDA]]*Tabela25[[#This Row],[CUSTO]]</f>
        <v>0</v>
      </c>
      <c r="Q71" s="55">
        <f>Tabela25[[#This Row],[CUSTO]]/Tabela25[[#This Row],[PREÇO PRATICADO]]</f>
        <v>0.23664666666666667</v>
      </c>
    </row>
    <row r="72" spans="1:17" ht="15.75" customHeight="1" x14ac:dyDescent="0.3">
      <c r="A72" s="42">
        <v>110000040</v>
      </c>
      <c r="B72" s="28">
        <v>1100</v>
      </c>
      <c r="C72" s="34" t="str">
        <f>VLOOKUP(Tabela25[[#This Row],[GRUPO]],[1]Produto!H60:I403,2,0)</f>
        <v>Adicional</v>
      </c>
      <c r="D72" s="51" t="s">
        <v>90</v>
      </c>
      <c r="E72" s="36">
        <v>2.5</v>
      </c>
      <c r="F72" s="36">
        <v>3</v>
      </c>
      <c r="G72" s="21">
        <f>VLOOKUP(Tabela25[[#This Row],[CÓDIGO]],'[1]Estrutura Loja'!$B$3:$M$2941,5,0)</f>
        <v>3.1888920863309349</v>
      </c>
      <c r="H72" s="37">
        <f t="shared" si="1"/>
        <v>-0.68889208633093491</v>
      </c>
      <c r="I72" s="36">
        <v>2.5</v>
      </c>
      <c r="J72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0.12339519999999995</v>
      </c>
      <c r="K72" s="53">
        <f>Tabela25[[#This Row],[PREÇO PRATICADO]]*Tabela25[[#This Row],[LUCRO REAL %]]</f>
        <v>0.30848799999999987</v>
      </c>
      <c r="L72" s="24"/>
      <c r="M72" s="54">
        <f>IF(Tabela25[[#This Row],[QUANT. VENDA]]=0,0,((Tabela25[[#This Row],[CUSTO]]*Tabela25[[#This Row],[QUANT. VENDA]])/(Tabela25[[#This Row],[QUANT. VENDA]]*Tabela25[[#This Row],[PREÇO PRATICADO]])))</f>
        <v>0</v>
      </c>
      <c r="N72" s="39">
        <f>VLOOKUP(Tabela25[[#This Row],[CÓDIGO]],'[1]Estrutura Loja'!$B$3:$E$1825,4,0)</f>
        <v>0.88651199999999997</v>
      </c>
      <c r="O72" s="39">
        <f>Tabela25[[#This Row],[QUANT. VENDA]]*Tabela25[[#This Row],[PREÇO PRATICADO]]</f>
        <v>0</v>
      </c>
      <c r="P72" s="39">
        <f>Tabela25[[#This Row],[QUANT. VENDA]]*Tabela25[[#This Row],[CUSTO]]</f>
        <v>0</v>
      </c>
      <c r="Q72" s="55">
        <f>Tabela25[[#This Row],[CUSTO]]/Tabela25[[#This Row],[PREÇO PRATICADO]]</f>
        <v>0.3546048</v>
      </c>
    </row>
    <row r="73" spans="1:17" ht="15.75" customHeight="1" x14ac:dyDescent="0.3">
      <c r="A73" s="42">
        <v>110000041</v>
      </c>
      <c r="B73" s="28">
        <v>1100</v>
      </c>
      <c r="C73" s="34" t="str">
        <f>VLOOKUP(Tabela25[[#This Row],[GRUPO]],[1]Produto!H62:I405,2,0)</f>
        <v>Adicional</v>
      </c>
      <c r="D73" s="51" t="s">
        <v>91</v>
      </c>
      <c r="E73" s="36">
        <v>5</v>
      </c>
      <c r="F73" s="36">
        <v>6</v>
      </c>
      <c r="G73" s="21">
        <f>VLOOKUP(Tabela25[[#This Row],[CÓDIGO]],'[1]Estrutura Loja'!$B$3:$M$2941,5,0)</f>
        <v>5.9273381294964027</v>
      </c>
      <c r="H73" s="37">
        <f t="shared" si="1"/>
        <v>-0.92733812949640271</v>
      </c>
      <c r="I73" s="36">
        <v>5</v>
      </c>
      <c r="J73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0.14843999999999991</v>
      </c>
      <c r="K73" s="53">
        <f>Tabela25[[#This Row],[PREÇO PRATICADO]]*Tabela25[[#This Row],[LUCRO REAL %]]</f>
        <v>0.74219999999999953</v>
      </c>
      <c r="L73" s="24"/>
      <c r="M73" s="54">
        <f>IF(Tabela25[[#This Row],[QUANT. VENDA]]=0,0,((Tabela25[[#This Row],[CUSTO]]*Tabela25[[#This Row],[QUANT. VENDA]])/(Tabela25[[#This Row],[QUANT. VENDA]]*Tabela25[[#This Row],[PREÇO PRATICADO]])))</f>
        <v>0</v>
      </c>
      <c r="N73" s="39">
        <f>VLOOKUP(Tabela25[[#This Row],[CÓDIGO]],'[1]Estrutura Loja'!$B$3:$E$1825,4,0)</f>
        <v>1.6478000000000002</v>
      </c>
      <c r="O73" s="39">
        <f>Tabela25[[#This Row],[QUANT. VENDA]]*Tabela25[[#This Row],[PREÇO PRATICADO]]</f>
        <v>0</v>
      </c>
      <c r="P73" s="39">
        <f>Tabela25[[#This Row],[QUANT. VENDA]]*Tabela25[[#This Row],[CUSTO]]</f>
        <v>0</v>
      </c>
      <c r="Q73" s="55">
        <f>Tabela25[[#This Row],[CUSTO]]/Tabela25[[#This Row],[PREÇO PRATICADO]]</f>
        <v>0.32956000000000002</v>
      </c>
    </row>
    <row r="74" spans="1:17" ht="15.75" customHeight="1" x14ac:dyDescent="0.3">
      <c r="A74" s="42">
        <v>110000042</v>
      </c>
      <c r="B74" s="28">
        <v>1100</v>
      </c>
      <c r="C74" s="28" t="str">
        <f>VLOOKUP(Tabela25[[#This Row],[GRUPO]],[1]Produto!H56:I398,2,0)</f>
        <v>Adicional</v>
      </c>
      <c r="D74" s="43" t="s">
        <v>92</v>
      </c>
      <c r="E74" s="44">
        <v>4</v>
      </c>
      <c r="F74" s="44">
        <v>5</v>
      </c>
      <c r="G74" s="21">
        <f>VLOOKUP(Tabela25[[#This Row],[CÓDIGO]],'[1]Estrutura Loja'!$B$3:$M$2941,5,0)</f>
        <v>3.7769784172661867</v>
      </c>
      <c r="H74" s="45">
        <f t="shared" si="1"/>
        <v>0.22302158273381334</v>
      </c>
      <c r="I74" s="44">
        <v>4</v>
      </c>
      <c r="J7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0.21549999999999997</v>
      </c>
      <c r="K74" s="23">
        <f>Tabela25[[#This Row],[PREÇO PRATICADO]]*Tabela25[[#This Row],[LUCRO REAL %]]</f>
        <v>0.86199999999999988</v>
      </c>
      <c r="L74" s="24"/>
      <c r="M74" s="47">
        <f>IF(Tabela25[[#This Row],[QUANT. VENDA]]=0,0,((Tabela25[[#This Row],[CUSTO]]*Tabela25[[#This Row],[QUANT. VENDA]])/(Tabela25[[#This Row],[QUANT. VENDA]]*Tabela25[[#This Row],[PREÇO PRATICADO]])))</f>
        <v>0</v>
      </c>
      <c r="N74" s="48">
        <f>VLOOKUP(Tabela25[[#This Row],[CÓDIGO]],'[1]Estrutura Loja'!$B$3:$E$1825,4,0)</f>
        <v>1.05</v>
      </c>
      <c r="O74" s="39">
        <f>Tabela25[[#This Row],[QUANT. VENDA]]*Tabela25[[#This Row],[PREÇO PRATICADO]]</f>
        <v>0</v>
      </c>
      <c r="P74" s="39">
        <f>Tabela25[[#This Row],[QUANT. VENDA]]*Tabela25[[#This Row],[CUSTO]]</f>
        <v>0</v>
      </c>
      <c r="Q74" s="56">
        <f>Tabela25[[#This Row],[CUSTO]]/Tabela25[[#This Row],[PREÇO PRATICADO]]</f>
        <v>0.26250000000000001</v>
      </c>
    </row>
    <row r="75" spans="1:17" ht="15.75" customHeight="1" x14ac:dyDescent="0.3">
      <c r="A75" s="42">
        <v>110000043</v>
      </c>
      <c r="B75" s="28">
        <v>1100</v>
      </c>
      <c r="C75" s="28" t="str">
        <f>VLOOKUP(Tabela25[[#This Row],[GRUPO]],[1]Produto!H57:I399,2,0)</f>
        <v>Adicional</v>
      </c>
      <c r="D75" s="43" t="s">
        <v>93</v>
      </c>
      <c r="E75" s="44">
        <v>10</v>
      </c>
      <c r="F75" s="44">
        <v>10</v>
      </c>
      <c r="G75" s="21">
        <f>VLOOKUP(Tabela25[[#This Row],[CÓDIGO]],'[1]Estrutura Loja'!$B$3:$M$2941,5,0)</f>
        <v>11.293165467625901</v>
      </c>
      <c r="H75" s="45">
        <f t="shared" si="1"/>
        <v>-1.2931654676259008</v>
      </c>
      <c r="I75" s="44">
        <v>10</v>
      </c>
      <c r="J7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0.16404999999999986</v>
      </c>
      <c r="K75" s="23">
        <f>Tabela25[[#This Row],[PREÇO PRATICADO]]*Tabela25[[#This Row],[LUCRO REAL %]]</f>
        <v>1.6404999999999985</v>
      </c>
      <c r="L75" s="24"/>
      <c r="M75" s="47">
        <f>IF(Tabela25[[#This Row],[QUANT. VENDA]]=0,0,((Tabela25[[#This Row],[CUSTO]]*Tabela25[[#This Row],[QUANT. VENDA]])/(Tabela25[[#This Row],[QUANT. VENDA]]*Tabela25[[#This Row],[PREÇO PRATICADO]])))</f>
        <v>0</v>
      </c>
      <c r="N75" s="48">
        <f>VLOOKUP(Tabela25[[#This Row],[CÓDIGO]],'[1]Estrutura Loja'!$B$3:$E$1825,4,0)</f>
        <v>3.1395000000000008</v>
      </c>
      <c r="O75" s="48">
        <f>Tabela25[[#This Row],[QUANT. VENDA]]*Tabela25[[#This Row],[PREÇO PRATICADO]]</f>
        <v>0</v>
      </c>
      <c r="P75" s="48">
        <f>Tabela25[[#This Row],[QUANT. VENDA]]*Tabela25[[#This Row],[CUSTO]]</f>
        <v>0</v>
      </c>
      <c r="Q75" s="56">
        <f>Tabela25[[#This Row],[CUSTO]]/Tabela25[[#This Row],[PREÇO PRATICADO]]</f>
        <v>0.31395000000000006</v>
      </c>
    </row>
    <row r="76" spans="1:17" ht="15.75" customHeight="1" x14ac:dyDescent="0.3">
      <c r="A76" s="42">
        <v>110000044</v>
      </c>
      <c r="B76" s="28">
        <v>1100</v>
      </c>
      <c r="C76" s="34" t="str">
        <f>VLOOKUP(Tabela25[[#This Row],[GRUPO]],[1]Produto!H63:I406,2,0)</f>
        <v>Adicional</v>
      </c>
      <c r="D76" s="43" t="s">
        <v>94</v>
      </c>
      <c r="E76" s="36">
        <v>14</v>
      </c>
      <c r="F76" s="36">
        <v>14</v>
      </c>
      <c r="G76" s="21">
        <f>VLOOKUP(Tabela25[[#This Row],[CÓDIGO]],'[1]Estrutura Loja'!$B$3:$M$2941,5,0)</f>
        <v>17.274880095923262</v>
      </c>
      <c r="H76" s="37">
        <f t="shared" si="1"/>
        <v>-3.2748800959232618</v>
      </c>
      <c r="I76" s="36">
        <v>14</v>
      </c>
      <c r="J76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0.13497023809523809</v>
      </c>
      <c r="K76" s="53">
        <f>Tabela25[[#This Row],[PREÇO PRATICADO]]*Tabela25[[#This Row],[LUCRO REAL %]]</f>
        <v>1.8895833333333332</v>
      </c>
      <c r="L76" s="24"/>
      <c r="M76" s="54">
        <f>IF(Tabela25[[#This Row],[QUANT. VENDA]]=0,0,((Tabela25[[#This Row],[CUSTO]]*Tabela25[[#This Row],[QUANT. VENDA]])/(Tabela25[[#This Row],[QUANT. VENDA]]*Tabela25[[#This Row],[PREÇO PRATICADO]])))</f>
        <v>0</v>
      </c>
      <c r="N76" s="39">
        <f>VLOOKUP(Tabela25[[#This Row],[CÓDIGO]],'[1]Estrutura Loja'!$B$3:$E$1825,4,0)</f>
        <v>4.8024166666666668</v>
      </c>
      <c r="O76" s="39">
        <f>Tabela25[[#This Row],[QUANT. VENDA]]*Tabela25[[#This Row],[PREÇO PRATICADO]]</f>
        <v>0</v>
      </c>
      <c r="P76" s="39">
        <f>Tabela25[[#This Row],[QUANT. VENDA]]*Tabela25[[#This Row],[CUSTO]]</f>
        <v>0</v>
      </c>
      <c r="Q76" s="55">
        <f>Tabela25[[#This Row],[CUSTO]]/Tabela25[[#This Row],[PREÇO PRATICADO]]</f>
        <v>0.34302976190476192</v>
      </c>
    </row>
    <row r="77" spans="1:17" ht="15.75" customHeight="1" x14ac:dyDescent="0.3">
      <c r="A77" s="42">
        <v>110000045</v>
      </c>
      <c r="B77" s="28">
        <v>1100</v>
      </c>
      <c r="C77" s="34" t="str">
        <f>VLOOKUP(Tabela25[[#This Row],[GRUPO]],[1]Produto!H63:I407,2,0)</f>
        <v>Adicional</v>
      </c>
      <c r="D77" s="51" t="s">
        <v>95</v>
      </c>
      <c r="E77" s="36">
        <v>12</v>
      </c>
      <c r="F77" s="36">
        <v>12</v>
      </c>
      <c r="G77" s="21">
        <f>VLOOKUP(Tabela25[[#This Row],[CÓDIGO]],'[1]Estrutura Loja'!$B$3:$M$2941,5,0)</f>
        <v>21.940719424460429</v>
      </c>
      <c r="H77" s="37">
        <f t="shared" si="1"/>
        <v>-9.9407194244604291</v>
      </c>
      <c r="I77" s="36">
        <v>22</v>
      </c>
      <c r="J77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0.2007490909090909</v>
      </c>
      <c r="K77" s="53">
        <f>Tabela25[[#This Row],[PREÇO PRATICADO]]*Tabela25[[#This Row],[LUCRO REAL %]]</f>
        <v>4.41648</v>
      </c>
      <c r="L77" s="24"/>
      <c r="M77" s="54">
        <f>IF(Tabela25[[#This Row],[QUANT. VENDA]]=0,0,((Tabela25[[#This Row],[CUSTO]]*Tabela25[[#This Row],[QUANT. VENDA]])/(Tabela25[[#This Row],[QUANT. VENDA]]*Tabela25[[#This Row],[PREÇO PRATICADO]])))</f>
        <v>0</v>
      </c>
      <c r="N77" s="39">
        <f>VLOOKUP(Tabela25[[#This Row],[CÓDIGO]],'[1]Estrutura Loja'!$B$3:$E$1825,4,0)</f>
        <v>6.0995200000000001</v>
      </c>
      <c r="O77" s="39">
        <f>Tabela25[[#This Row],[QUANT. VENDA]]*Tabela25[[#This Row],[PREÇO PRATICADO]]</f>
        <v>0</v>
      </c>
      <c r="P77" s="39">
        <f>Tabela25[[#This Row],[QUANT. VENDA]]*Tabela25[[#This Row],[CUSTO]]</f>
        <v>0</v>
      </c>
      <c r="Q77" s="55">
        <f>Tabela25[[#This Row],[CUSTO]]/Tabela25[[#This Row],[PREÇO PRATICADO]]</f>
        <v>0.2772509090909091</v>
      </c>
    </row>
    <row r="78" spans="1:17" ht="15.75" customHeight="1" x14ac:dyDescent="0.3">
      <c r="A78" s="42">
        <v>110000046</v>
      </c>
      <c r="B78" s="34">
        <v>1100</v>
      </c>
      <c r="C78" s="34" t="str">
        <f>VLOOKUP(Tabela25[[#This Row],[GRUPO]],[1]Produto!H81:I426,2,0)</f>
        <v>Adicional</v>
      </c>
      <c r="D78" s="43" t="s">
        <v>96</v>
      </c>
      <c r="E78" s="36">
        <v>24</v>
      </c>
      <c r="F78" s="36">
        <v>26</v>
      </c>
      <c r="G78" s="37">
        <f>VLOOKUP(Tabela25[[#This Row],[CÓDIGO]],'[1]Estrutura Loja'!$B$3:$M$2941,5,0)</f>
        <v>28.549382716049383</v>
      </c>
      <c r="H78" s="37">
        <f t="shared" si="1"/>
        <v>-4.5493827160493829</v>
      </c>
      <c r="I78" s="36">
        <v>24</v>
      </c>
      <c r="J78" s="52">
        <f>(Tabela25[[#This Row],[PREÇO PRATICADO]]-((Tabela25[[#This Row],[PREÇO PRATICADO]])*([1]Informações!$H$6+[1]Informações!$H$19+[1]Informações!$H$20))-Tabela25[[#This Row],[CUSTO]])/Tabela25[[#This Row],[PREÇO PRATICADO]]</f>
        <v>7.7166666666666675E-2</v>
      </c>
      <c r="K78" s="53">
        <f>Tabela25[[#This Row],[PREÇO PRATICADO]]*Tabela25[[#This Row],[LUCRO REAL %]]</f>
        <v>1.8520000000000003</v>
      </c>
      <c r="L78" s="38"/>
      <c r="M78" s="54">
        <f>IF(Tabela25[[#This Row],[QUANT. VENDA]]=0,0,((Tabela25[[#This Row],[CUSTO]]*Tabela25[[#This Row],[QUANT. VENDA]])/(Tabela25[[#This Row],[QUANT. VENDA]]*Tabela25[[#This Row],[PREÇO PRATICADO]])))</f>
        <v>0</v>
      </c>
      <c r="N78" s="39">
        <f>VLOOKUP(Tabela25[[#This Row],[CÓDIGO]],'[1]Estrutura Loja'!$B$3:$E$1825,4,0)</f>
        <v>18.5</v>
      </c>
      <c r="O78" s="39">
        <f>Tabela25[[#This Row],[QUANT. VENDA]]*Tabela25[[#This Row],[PREÇO PRATICADO]]</f>
        <v>0</v>
      </c>
      <c r="P78" s="39">
        <f>Tabela25[[#This Row],[QUANT. VENDA]]*Tabela25[[#This Row],[CUSTO]]</f>
        <v>0</v>
      </c>
      <c r="Q78" s="55">
        <f>Tabela25[[#This Row],[CUSTO]]/Tabela25[[#This Row],[PREÇO PRATICADO]]</f>
        <v>0.77083333333333337</v>
      </c>
    </row>
    <row r="79" spans="1:17" ht="15.75" customHeight="1" x14ac:dyDescent="0.3">
      <c r="A79" s="42">
        <v>110000047</v>
      </c>
      <c r="B79" s="34">
        <v>1100</v>
      </c>
      <c r="C79" s="34" t="str">
        <f>VLOOKUP(Tabela25[[#This Row],[GRUPO]],[1]Produto!H82:I427,2,0)</f>
        <v>Adicional</v>
      </c>
      <c r="D79" s="43" t="s">
        <v>97</v>
      </c>
      <c r="E79" s="36">
        <v>7</v>
      </c>
      <c r="F79" s="36">
        <v>8</v>
      </c>
      <c r="G79" s="37">
        <f>VLOOKUP(Tabela25[[#This Row],[CÓDIGO]],'[1]Estrutura Loja'!$B$3:$M$2941,5,0)</f>
        <v>7.7546296296296298</v>
      </c>
      <c r="H79" s="37">
        <f t="shared" si="1"/>
        <v>-0.75462962962962976</v>
      </c>
      <c r="I79" s="36">
        <v>7</v>
      </c>
      <c r="J79" s="52">
        <f>(Tabela25[[#This Row],[PREÇO PRATICADO]]-((Tabela25[[#This Row],[PREÇO PRATICADO]])*([1]Informações!$H$6+[1]Informações!$H$19+[1]Informações!$H$20))-Tabela25[[#This Row],[CUSTO]])/Tabela25[[#This Row],[PREÇO PRATICADO]]</f>
        <v>0.13014285714285709</v>
      </c>
      <c r="K79" s="53">
        <f>Tabela25[[#This Row],[PREÇO PRATICADO]]*Tabela25[[#This Row],[LUCRO REAL %]]</f>
        <v>0.91099999999999959</v>
      </c>
      <c r="L79" s="38"/>
      <c r="M79" s="54">
        <f>IF(Tabela25[[#This Row],[QUANT. VENDA]]=0,0,((Tabela25[[#This Row],[CUSTO]]*Tabela25[[#This Row],[QUANT. VENDA]])/(Tabela25[[#This Row],[QUANT. VENDA]]*Tabela25[[#This Row],[PREÇO PRATICADO]])))</f>
        <v>0</v>
      </c>
      <c r="N79" s="39">
        <f>VLOOKUP(Tabela25[[#This Row],[CÓDIGO]],'[1]Estrutura Loja'!$B$3:$E$1825,4,0)</f>
        <v>5.0250000000000004</v>
      </c>
      <c r="O79" s="39">
        <f>Tabela25[[#This Row],[QUANT. VENDA]]*Tabela25[[#This Row],[PREÇO PRATICADO]]</f>
        <v>0</v>
      </c>
      <c r="P79" s="39">
        <f>Tabela25[[#This Row],[QUANT. VENDA]]*Tabela25[[#This Row],[CUSTO]]</f>
        <v>0</v>
      </c>
      <c r="Q79" s="55">
        <f>Tabela25[[#This Row],[CUSTO]]/Tabela25[[#This Row],[PREÇO PRATICADO]]</f>
        <v>0.71785714285714286</v>
      </c>
    </row>
    <row r="80" spans="1:17" ht="15.75" customHeight="1" x14ac:dyDescent="0.3">
      <c r="A80" s="42">
        <v>110000048</v>
      </c>
      <c r="B80" s="34">
        <v>1100</v>
      </c>
      <c r="C80" s="34" t="str">
        <f>VLOOKUP(Tabela25[[#This Row],[GRUPO]],[1]Produto!H83:I428,2,0)</f>
        <v>Adicional</v>
      </c>
      <c r="D80" s="43" t="s">
        <v>98</v>
      </c>
      <c r="E80" s="36">
        <v>1.5</v>
      </c>
      <c r="F80" s="36">
        <v>2.5</v>
      </c>
      <c r="G80" s="37">
        <f>VLOOKUP(Tabela25[[#This Row],[CÓDIGO]],'[1]Estrutura Loja'!$B$3:$M$2941,5,0)</f>
        <v>1.1305241521068861</v>
      </c>
      <c r="H80" s="37">
        <f t="shared" si="1"/>
        <v>0.36947584789311394</v>
      </c>
      <c r="I80" s="36">
        <v>1.5</v>
      </c>
      <c r="J80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0.26847619047619042</v>
      </c>
      <c r="K80" s="53">
        <f>Tabela25[[#This Row],[PREÇO PRATICADO]]*Tabela25[[#This Row],[LUCRO REAL %]]</f>
        <v>0.40271428571428564</v>
      </c>
      <c r="L80" s="38"/>
      <c r="M80" s="54">
        <f>IF(Tabela25[[#This Row],[QUANT. VENDA]]=0,0,((Tabela25[[#This Row],[CUSTO]]*Tabela25[[#This Row],[QUANT. VENDA]])/(Tabela25[[#This Row],[QUANT. VENDA]]*Tabela25[[#This Row],[PREÇO PRATICADO]])))</f>
        <v>0</v>
      </c>
      <c r="N80" s="39">
        <f>VLOOKUP(Tabela25[[#This Row],[CÓDIGO]],'[1]Estrutura Loja'!$B$3:$E$1825,4,0)</f>
        <v>0.31428571428571433</v>
      </c>
      <c r="O80" s="39">
        <f>Tabela25[[#This Row],[QUANT. VENDA]]*Tabela25[[#This Row],[PREÇO PRATICADO]]</f>
        <v>0</v>
      </c>
      <c r="P80" s="39">
        <f>Tabela25[[#This Row],[QUANT. VENDA]]*Tabela25[[#This Row],[CUSTO]]</f>
        <v>0</v>
      </c>
      <c r="Q80" s="55">
        <f>Tabela25[[#This Row],[CUSTO]]/Tabela25[[#This Row],[PREÇO PRATICADO]]</f>
        <v>0.20952380952380956</v>
      </c>
    </row>
    <row r="81" spans="1:17" ht="15.75" customHeight="1" x14ac:dyDescent="0.3">
      <c r="A81" s="42">
        <v>110000049</v>
      </c>
      <c r="B81" s="34">
        <v>1100</v>
      </c>
      <c r="C81" s="28" t="str">
        <f>VLOOKUP(Tabela25[[#This Row],[GRUPO]],[1]Produto!H86:I434,2,0)</f>
        <v>Adicional</v>
      </c>
      <c r="D81" s="43" t="s">
        <v>99</v>
      </c>
      <c r="E81" s="44">
        <v>7</v>
      </c>
      <c r="F81" s="44">
        <v>8</v>
      </c>
      <c r="G81" s="45">
        <f>VLOOKUP(Tabela25[[#This Row],[CÓDIGO]],'[1]Estrutura Loja'!$B$3:$M$2941,5,0)</f>
        <v>7.8084172661870497</v>
      </c>
      <c r="H81" s="45">
        <f t="shared" si="1"/>
        <v>-0.80841726618704968</v>
      </c>
      <c r="I81" s="44">
        <v>7</v>
      </c>
      <c r="J8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0.16789428571428575</v>
      </c>
      <c r="K81" s="53">
        <f>Tabela25[[#This Row],[PREÇO PRATICADO]]*Tabela25[[#This Row],[LUCRO REAL %]]</f>
        <v>1.1752600000000002</v>
      </c>
      <c r="L81" s="57"/>
      <c r="M81" s="54">
        <f>IF(Tabela25[[#This Row],[QUANT. VENDA]]=0,0,((Tabela25[[#This Row],[CUSTO]]*Tabela25[[#This Row],[QUANT. VENDA]])/(Tabela25[[#This Row],[QUANT. VENDA]]*Tabela25[[#This Row],[PREÇO PRATICADO]])))</f>
        <v>0</v>
      </c>
      <c r="N81" s="39">
        <f>VLOOKUP(Tabela25[[#This Row],[CÓDIGO]],'[1]Estrutura Loja'!$B$3:$E$1825,4,0)</f>
        <v>2.1707399999999999</v>
      </c>
      <c r="O81" s="48">
        <f>Tabela25[[#This Row],[QUANT. VENDA]]*Tabela25[[#This Row],[PREÇO PRATICADO]]</f>
        <v>0</v>
      </c>
      <c r="P81" s="48">
        <f>Tabela25[[#This Row],[QUANT. VENDA]]*Tabela25[[#This Row],[CUSTO]]</f>
        <v>0</v>
      </c>
      <c r="Q81" s="55">
        <f>Tabela25[[#This Row],[CUSTO]]/Tabela25[[#This Row],[PREÇO PRATICADO]]</f>
        <v>0.31010571428571426</v>
      </c>
    </row>
    <row r="82" spans="1:17" ht="15.75" customHeight="1" x14ac:dyDescent="0.3">
      <c r="A82" s="42">
        <v>110000050</v>
      </c>
      <c r="B82" s="34">
        <v>1100</v>
      </c>
      <c r="C82" s="58" t="str">
        <f>VLOOKUP(Tabela25[[#This Row],[GRUPO]],[1]Produto!H79:I428,2,0)</f>
        <v>Adicional</v>
      </c>
      <c r="D82" s="43" t="s">
        <v>100</v>
      </c>
      <c r="E82" s="59">
        <v>6</v>
      </c>
      <c r="F82" s="59">
        <v>7</v>
      </c>
      <c r="G82" s="60">
        <f>VLOOKUP(Tabela25[[#This Row],[CÓDIGO]],'[1]Estrutura Loja'!$B$3:$M$2941,5,0)</f>
        <v>5.6115107913669062</v>
      </c>
      <c r="H82" s="60">
        <f t="shared" si="1"/>
        <v>0.38848920863309377</v>
      </c>
      <c r="I82" s="59">
        <v>6</v>
      </c>
      <c r="J82" s="61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0.21799999999999997</v>
      </c>
      <c r="K82" s="62">
        <f>Tabela25[[#This Row],[PREÇO PRATICADO]]*Tabela25[[#This Row],[LUCRO REAL %]]</f>
        <v>1.3079999999999998</v>
      </c>
      <c r="L82" s="63"/>
      <c r="M82" s="64">
        <f>IF(Tabela25[[#This Row],[QUANT. VENDA]]=0,0,((Tabela25[[#This Row],[CUSTO]]*Tabela25[[#This Row],[QUANT. VENDA]])/(Tabela25[[#This Row],[QUANT. VENDA]]*Tabela25[[#This Row],[PREÇO PRATICADO]])))</f>
        <v>0</v>
      </c>
      <c r="N82" s="39">
        <f>VLOOKUP(Tabela25[[#This Row],[CÓDIGO]],'[1]Estrutura Loja'!$B$3:$E$1825,4,0)</f>
        <v>1.56</v>
      </c>
      <c r="O82" s="65">
        <f>Tabela25[[#This Row],[QUANT. VENDA]]*Tabela25[[#This Row],[PREÇO PRATICADO]]</f>
        <v>0</v>
      </c>
      <c r="P82" s="65">
        <f>Tabela25[[#This Row],[QUANT. VENDA]]*Tabela25[[#This Row],[CUSTO]]</f>
        <v>0</v>
      </c>
      <c r="Q82" s="55">
        <f>Tabela25[[#This Row],[CUSTO]]/Tabela25[[#This Row],[PREÇO PRATICADO]]</f>
        <v>0.26</v>
      </c>
    </row>
    <row r="83" spans="1:17" ht="15.75" customHeight="1" x14ac:dyDescent="0.3">
      <c r="A83" s="42">
        <v>130000001</v>
      </c>
      <c r="B83" s="34">
        <v>1100</v>
      </c>
      <c r="C83" s="34" t="str">
        <f>VLOOKUP(Tabela25[[#This Row],[GRUPO]],[1]Produto!H84:I433,2,0)</f>
        <v>Adicional</v>
      </c>
      <c r="D83" s="43" t="s">
        <v>101</v>
      </c>
      <c r="E83" s="36">
        <v>2</v>
      </c>
      <c r="F83" s="36">
        <v>3</v>
      </c>
      <c r="G83" s="37">
        <f>VLOOKUP(Tabela25[[#This Row],[CÓDIGO]],'[1]Estrutura Loja'!$B$3:$M$2941,5,0)</f>
        <v>1.543165467625899</v>
      </c>
      <c r="H83" s="37">
        <f t="shared" si="1"/>
        <v>0.45683453237410099</v>
      </c>
      <c r="I83" s="36">
        <v>2</v>
      </c>
      <c r="J83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0.26350000000000001</v>
      </c>
      <c r="K83" s="53">
        <f>Tabela25[[#This Row],[PREÇO PRATICADO]]*Tabela25[[#This Row],[LUCRO REAL %]]</f>
        <v>0.52700000000000002</v>
      </c>
      <c r="L83" s="38"/>
      <c r="M83" s="54">
        <f>IF(Tabela25[[#This Row],[QUANT. VENDA]]=0,0,((Tabela25[[#This Row],[CUSTO]]*Tabela25[[#This Row],[QUANT. VENDA]])/(Tabela25[[#This Row],[QUANT. VENDA]]*Tabela25[[#This Row],[PREÇO PRATICADO]])))</f>
        <v>0</v>
      </c>
      <c r="N83" s="39">
        <f>VLOOKUP(Tabela25[[#This Row],[CÓDIGO]],'[1]Estrutura Loja'!$B$3:$E$1825,4,0)</f>
        <v>0.42899999999999994</v>
      </c>
      <c r="O83" s="39">
        <f>Tabela25[[#This Row],[QUANT. VENDA]]*Tabela25[[#This Row],[PREÇO PRATICADO]]</f>
        <v>0</v>
      </c>
      <c r="P83" s="39">
        <f>Tabela25[[#This Row],[QUANT. VENDA]]*Tabela25[[#This Row],[CUSTO]]</f>
        <v>0</v>
      </c>
      <c r="Q83" s="55">
        <f>Tabela25[[#This Row],[CUSTO]]/Tabela25[[#This Row],[PREÇO PRATICADO]]</f>
        <v>0.21449999999999997</v>
      </c>
    </row>
    <row r="84" spans="1:17" ht="15.75" customHeight="1" x14ac:dyDescent="0.3">
      <c r="A84" s="42">
        <v>130000002</v>
      </c>
      <c r="B84" s="34">
        <v>1100</v>
      </c>
      <c r="C84" s="34" t="str">
        <f>VLOOKUP(Tabela25[[#This Row],[GRUPO]],[1]Produto!H85:I434,2,0)</f>
        <v>Adicional</v>
      </c>
      <c r="D84" s="51" t="s">
        <v>102</v>
      </c>
      <c r="E84" s="36">
        <v>5</v>
      </c>
      <c r="F84" s="36">
        <v>7</v>
      </c>
      <c r="G84" s="37">
        <f>VLOOKUP(Tabela25[[#This Row],[CÓDIGO]],'[1]Estrutura Loja'!$B$3:$M$2941,5,0)</f>
        <v>4.6739208633093519</v>
      </c>
      <c r="H84" s="37">
        <f t="shared" si="1"/>
        <v>0.32607913669064814</v>
      </c>
      <c r="I84" s="36">
        <v>5</v>
      </c>
      <c r="J8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0.21812999999999994</v>
      </c>
      <c r="K84" s="53">
        <f>Tabela25[[#This Row],[PREÇO PRATICADO]]*Tabela25[[#This Row],[LUCRO REAL %]]</f>
        <v>1.0906499999999997</v>
      </c>
      <c r="L84" s="38"/>
      <c r="M84" s="54">
        <f>IF(Tabela25[[#This Row],[QUANT. VENDA]]=0,0,((Tabela25[[#This Row],[CUSTO]]*Tabela25[[#This Row],[QUANT. VENDA]])/(Tabela25[[#This Row],[QUANT. VENDA]]*Tabela25[[#This Row],[PREÇO PRATICADO]])))</f>
        <v>0</v>
      </c>
      <c r="N84" s="48">
        <f>VLOOKUP(Tabela25[[#This Row],[CÓDIGO]],'[1]Estrutura Loja'!$B$3:$E$1825,4,0)</f>
        <v>1.29935</v>
      </c>
      <c r="O84" s="39">
        <f>Tabela25[[#This Row],[QUANT. VENDA]]*Tabela25[[#This Row],[PREÇO PRATICADO]]</f>
        <v>0</v>
      </c>
      <c r="P84" s="39">
        <f>Tabela25[[#This Row],[QUANT. VENDA]]*Tabela25[[#This Row],[CUSTO]]</f>
        <v>0</v>
      </c>
      <c r="Q84" s="56">
        <f>Tabela25[[#This Row],[CUSTO]]/Tabela25[[#This Row],[PREÇO PRATICADO]]</f>
        <v>0.25986999999999999</v>
      </c>
    </row>
    <row r="85" spans="1:17" ht="15.75" customHeight="1" x14ac:dyDescent="0.3">
      <c r="A85" s="42">
        <v>130000003</v>
      </c>
      <c r="B85" s="34">
        <v>1100</v>
      </c>
      <c r="C85" s="34" t="str">
        <f>VLOOKUP(Tabela25[[#This Row],[GRUPO]],[1]Produto!H85:I434,2,0)</f>
        <v>Adicional</v>
      </c>
      <c r="D85" s="51" t="s">
        <v>103</v>
      </c>
      <c r="E85" s="36">
        <v>12</v>
      </c>
      <c r="F85" s="36">
        <v>14</v>
      </c>
      <c r="G85" s="37">
        <f>VLOOKUP(Tabela25[[#This Row],[CÓDIGO]],'[1]Estrutura Loja'!$B$3:$M$2941,5,0)</f>
        <v>11.10611510791367</v>
      </c>
      <c r="H85" s="37">
        <f t="shared" si="1"/>
        <v>0.89388489208633004</v>
      </c>
      <c r="I85" s="36">
        <v>12</v>
      </c>
      <c r="J8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0.22070833333333328</v>
      </c>
      <c r="K85" s="53">
        <f>Tabela25[[#This Row],[PREÇO PRATICADO]]*Tabela25[[#This Row],[LUCRO REAL %]]</f>
        <v>2.6484999999999994</v>
      </c>
      <c r="L85" s="38"/>
      <c r="M85" s="54">
        <f>IF(Tabela25[[#This Row],[QUANT. VENDA]]=0,0,((Tabela25[[#This Row],[CUSTO]]*Tabela25[[#This Row],[QUANT. VENDA]])/(Tabela25[[#This Row],[QUANT. VENDA]]*Tabela25[[#This Row],[PREÇO PRATICADO]])))</f>
        <v>0</v>
      </c>
      <c r="N85" s="48">
        <f>VLOOKUP(Tabela25[[#This Row],[CÓDIGO]],'[1]Estrutura Loja'!$B$3:$E$1825,4,0)</f>
        <v>3.0875000000000004</v>
      </c>
      <c r="O85" s="39">
        <f>Tabela25[[#This Row],[QUANT. VENDA]]*Tabela25[[#This Row],[PREÇO PRATICADO]]</f>
        <v>0</v>
      </c>
      <c r="P85" s="39">
        <f>Tabela25[[#This Row],[QUANT. VENDA]]*Tabela25[[#This Row],[CUSTO]]</f>
        <v>0</v>
      </c>
      <c r="Q85" s="56">
        <f>Tabela25[[#This Row],[CUSTO]]/Tabela25[[#This Row],[PREÇO PRATICADO]]</f>
        <v>0.2572916666666667</v>
      </c>
    </row>
    <row r="86" spans="1:17" ht="15.75" customHeight="1" x14ac:dyDescent="0.3">
      <c r="A86" s="66">
        <v>130000004</v>
      </c>
      <c r="B86" s="34">
        <v>1100</v>
      </c>
      <c r="C86" s="34" t="str">
        <f>VLOOKUP(Tabela25[[#This Row],[GRUPO]],[1]Produto!H86:I435,2,0)</f>
        <v>Adicional</v>
      </c>
      <c r="D86" s="51" t="s">
        <v>104</v>
      </c>
      <c r="E86" s="36">
        <v>4.5</v>
      </c>
      <c r="F86" s="36">
        <v>5</v>
      </c>
      <c r="G86" s="37">
        <f>VLOOKUP(Tabela25[[#This Row],[CÓDIGO]],'[1]Estrutura Loja'!$B$3:$M$2941,5,0)</f>
        <v>4.1652106885919835</v>
      </c>
      <c r="H86" s="37">
        <f t="shared" si="1"/>
        <v>0.33478931140801649</v>
      </c>
      <c r="I86" s="36">
        <v>4.5</v>
      </c>
      <c r="J86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0.22068253968253965</v>
      </c>
      <c r="K86" s="53">
        <f>Tabela25[[#This Row],[PREÇO PRATICADO]]*Tabela25[[#This Row],[LUCRO REAL %]]</f>
        <v>0.99307142857142838</v>
      </c>
      <c r="L86" s="38"/>
      <c r="M86" s="67">
        <f>IF(Tabela25[[#This Row],[QUANT. VENDA]]=0,0,((Tabela25[[#This Row],[CUSTO]]*Tabela25[[#This Row],[QUANT. VENDA]])/(Tabela25[[#This Row],[QUANT. VENDA]]*Tabela25[[#This Row],[PREÇO PRATICADO]])))</f>
        <v>0</v>
      </c>
      <c r="N86" s="39">
        <f>VLOOKUP(Tabela25[[#This Row],[CÓDIGO]],'[1]Estrutura Loja'!$B$3:$E$1825,4,0)</f>
        <v>1.1579285714285714</v>
      </c>
      <c r="O86" s="39">
        <f>Tabela25[[#This Row],[QUANT. VENDA]]*Tabela25[[#This Row],[PREÇO PRATICADO]]</f>
        <v>0</v>
      </c>
      <c r="P86" s="39">
        <f>Tabela25[[#This Row],[QUANT. VENDA]]*Tabela25[[#This Row],[CUSTO]]</f>
        <v>0</v>
      </c>
      <c r="Q86" s="55">
        <f>Tabela25[[#This Row],[CUSTO]]/Tabela25[[#This Row],[PREÇO PRATICADO]]</f>
        <v>0.25731746031746033</v>
      </c>
    </row>
    <row r="87" spans="1:17" ht="15.75" customHeight="1" x14ac:dyDescent="0.3">
      <c r="A87" s="66">
        <v>130000006</v>
      </c>
      <c r="B87" s="34">
        <v>1100</v>
      </c>
      <c r="C87" s="34" t="str">
        <f>VLOOKUP(Tabela25[[#This Row],[GRUPO]],[1]Produto!H87:I436,2,0)</f>
        <v>Adicional</v>
      </c>
      <c r="D87" s="43" t="s">
        <v>105</v>
      </c>
      <c r="E87" s="36">
        <v>2</v>
      </c>
      <c r="F87" s="36">
        <v>4</v>
      </c>
      <c r="G87" s="37">
        <f>VLOOKUP(Tabela25[[#This Row],[CÓDIGO]],'[1]Estrutura Loja'!$B$3:$M$2941,5,0)</f>
        <v>1.9543052130170862</v>
      </c>
      <c r="H87" s="37">
        <f t="shared" si="1"/>
        <v>4.5694786982913849E-2</v>
      </c>
      <c r="I87" s="36">
        <v>2</v>
      </c>
      <c r="J87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0.20635157539062499</v>
      </c>
      <c r="K87" s="53">
        <f>Tabela25[[#This Row],[PREÇO PRATICADO]]*Tabela25[[#This Row],[LUCRO REAL %]]</f>
        <v>0.41270315078124997</v>
      </c>
      <c r="L87" s="38"/>
      <c r="M87" s="67">
        <f>IF(Tabela25[[#This Row],[QUANT. VENDA]]=0,0,((Tabela25[[#This Row],[CUSTO]]*Tabela25[[#This Row],[QUANT. VENDA]])/(Tabela25[[#This Row],[QUANT. VENDA]]*Tabela25[[#This Row],[PREÇO PRATICADO]])))</f>
        <v>0</v>
      </c>
      <c r="N87" s="39">
        <f>VLOOKUP(Tabela25[[#This Row],[CÓDIGO]],'[1]Estrutura Loja'!$B$3:$E$1825,4,0)</f>
        <v>0.54329684921874999</v>
      </c>
      <c r="O87" s="39">
        <f>Tabela25[[#This Row],[QUANT. VENDA]]*Tabela25[[#This Row],[PREÇO PRATICADO]]</f>
        <v>0</v>
      </c>
      <c r="P87" s="39">
        <f>Tabela25[[#This Row],[QUANT. VENDA]]*Tabela25[[#This Row],[CUSTO]]</f>
        <v>0</v>
      </c>
      <c r="Q87" s="55">
        <f>Tabela25[[#This Row],[CUSTO]]/Tabela25[[#This Row],[PREÇO PRATICADO]]</f>
        <v>0.27164842460937499</v>
      </c>
    </row>
    <row r="88" spans="1:17" ht="15.75" customHeight="1" x14ac:dyDescent="0.3">
      <c r="A88" s="42">
        <v>190000001</v>
      </c>
      <c r="B88" s="34">
        <v>1100</v>
      </c>
      <c r="C88" s="28" t="str">
        <f>VLOOKUP(Tabela25[[#This Row],[GRUPO]],[1]Produto!H87:I435,2,0)</f>
        <v>Adicional</v>
      </c>
      <c r="D88" s="43" t="s">
        <v>106</v>
      </c>
      <c r="E88" s="44">
        <v>2</v>
      </c>
      <c r="F88" s="44">
        <v>3</v>
      </c>
      <c r="G88" s="45">
        <f>VLOOKUP(Tabela25[[#This Row],[CÓDIGO]],'[1]Estrutura Loja'!$B$3:$M$2941,5,0)</f>
        <v>2.1864876543209872</v>
      </c>
      <c r="H88" s="45">
        <f t="shared" si="1"/>
        <v>-0.18648765432098724</v>
      </c>
      <c r="I88" s="44">
        <v>2</v>
      </c>
      <c r="J88" s="22">
        <f>(Tabela25[[#This Row],[PREÇO PRATICADO]]-((Tabela25[[#This Row],[PREÇO PRATICADO]])*([1]Informações!$H$6+[1]Informações!$H$19+[1]Informações!$H$20))-Tabela25[[#This Row],[CUSTO]])/Tabela25[[#This Row],[PREÇO PRATICADO]]</f>
        <v>0.13957800000000009</v>
      </c>
      <c r="K88" s="53">
        <f>Tabela25[[#This Row],[PREÇO PRATICADO]]*Tabela25[[#This Row],[LUCRO REAL %]]</f>
        <v>0.27915600000000018</v>
      </c>
      <c r="L88" s="57"/>
      <c r="M88" s="54">
        <f>IF(Tabela25[[#This Row],[QUANT. VENDA]]=0,0,((Tabela25[[#This Row],[CUSTO]]*Tabela25[[#This Row],[QUANT. VENDA]])/(Tabela25[[#This Row],[QUANT. VENDA]]*Tabela25[[#This Row],[PREÇO PRATICADO]])))</f>
        <v>0</v>
      </c>
      <c r="N88" s="39">
        <f>VLOOKUP(Tabela25[[#This Row],[CÓDIGO]],'[1]Estrutura Loja'!$B$3:$E$1825,4,0)</f>
        <v>1.4168439999999998</v>
      </c>
      <c r="O88" s="48">
        <f>Tabela25[[#This Row],[QUANT. VENDA]]*Tabela25[[#This Row],[PREÇO PRATICADO]]</f>
        <v>0</v>
      </c>
      <c r="P88" s="48">
        <f>Tabela25[[#This Row],[QUANT. VENDA]]*Tabela25[[#This Row],[CUSTO]]</f>
        <v>0</v>
      </c>
      <c r="Q88" s="55">
        <f>Tabela25[[#This Row],[CUSTO]]/Tabela25[[#This Row],[PREÇO PRATICADO]]</f>
        <v>0.70842199999999989</v>
      </c>
    </row>
    <row r="89" spans="1:17" ht="15.75" customHeight="1" x14ac:dyDescent="0.3">
      <c r="A89" s="42">
        <v>190000002</v>
      </c>
      <c r="B89" s="34">
        <v>1100</v>
      </c>
      <c r="C89" s="34" t="str">
        <f>VLOOKUP(Tabela25[[#This Row],[GRUPO]],[1]Produto!H99:I442,2,0)</f>
        <v>Adicional</v>
      </c>
      <c r="D89" s="43" t="s">
        <v>107</v>
      </c>
      <c r="E89" s="36">
        <v>2</v>
      </c>
      <c r="F89" s="36">
        <v>3</v>
      </c>
      <c r="G89" s="37">
        <f>VLOOKUP(Tabela25[[#This Row],[CÓDIGO]],'[1]Estrutura Loja'!$B$3:$M$2941,5,0)</f>
        <v>1.614046296296296</v>
      </c>
      <c r="H89" s="37">
        <f t="shared" si="1"/>
        <v>0.38595370370370397</v>
      </c>
      <c r="I89" s="36">
        <v>2</v>
      </c>
      <c r="J89" s="52">
        <f>(Tabela25[[#This Row],[PREÇO PRATICADO]]-((Tabela25[[#This Row],[PREÇO PRATICADO]])*([1]Informações!$H$6+[1]Informações!$H$19+[1]Informações!$H$20))-Tabela25[[#This Row],[CUSTO]])/Tabela25[[#This Row],[PREÇO PRATICADO]]</f>
        <v>0.32504900000000003</v>
      </c>
      <c r="K89" s="53">
        <f>Tabela25[[#This Row],[PREÇO PRATICADO]]*Tabela25[[#This Row],[LUCRO REAL %]]</f>
        <v>0.65009800000000006</v>
      </c>
      <c r="L89" s="38"/>
      <c r="M89" s="54">
        <f>IF(Tabela25[[#This Row],[QUANT. VENDA]]=0,0,((Tabela25[[#This Row],[CUSTO]]*Tabela25[[#This Row],[QUANT. VENDA]])/(Tabela25[[#This Row],[QUANT. VENDA]]*Tabela25[[#This Row],[PREÇO PRATICADO]])))</f>
        <v>0</v>
      </c>
      <c r="N89" s="39">
        <f>VLOOKUP(Tabela25[[#This Row],[CÓDIGO]],'[1]Estrutura Loja'!$B$3:$E$1825,4,0)</f>
        <v>1.0459019999999999</v>
      </c>
      <c r="O89" s="39">
        <f>Tabela25[[#This Row],[QUANT. VENDA]]*Tabela25[[#This Row],[PREÇO PRATICADO]]</f>
        <v>0</v>
      </c>
      <c r="P89" s="39">
        <f>Tabela25[[#This Row],[QUANT. VENDA]]*Tabela25[[#This Row],[CUSTO]]</f>
        <v>0</v>
      </c>
      <c r="Q89" s="55">
        <f>Tabela25[[#This Row],[CUSTO]]/Tabela25[[#This Row],[PREÇO PRATICADO]]</f>
        <v>0.52295099999999994</v>
      </c>
    </row>
    <row r="90" spans="1:17" ht="15.75" customHeight="1" x14ac:dyDescent="0.3">
      <c r="A90" s="42">
        <v>101300001</v>
      </c>
      <c r="B90" s="28">
        <v>1013</v>
      </c>
      <c r="C90" s="28" t="str">
        <f>VLOOKUP(Tabela25[[#This Row],[GRUPO]],[1]Produto!H139:I511,2,0)</f>
        <v>Big Sundae</v>
      </c>
      <c r="D90" s="43" t="s">
        <v>108</v>
      </c>
      <c r="E90" s="44">
        <v>11</v>
      </c>
      <c r="F90" s="44">
        <v>13</v>
      </c>
      <c r="G90" s="21">
        <f>VLOOKUP(Tabela25[[#This Row],[CÓDIGO]],'[1]Estrutura Loja'!$B$3:$M$2941,5,0)</f>
        <v>10.883417591352659</v>
      </c>
      <c r="H90" s="45">
        <f t="shared" si="1"/>
        <v>0.11658240864734104</v>
      </c>
      <c r="I90" s="44">
        <v>11</v>
      </c>
      <c r="J9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0.20294635541854189</v>
      </c>
      <c r="K90" s="46">
        <f>Tabela25[[#This Row],[PREÇO PRATICADO]]*Tabela25[[#This Row],[LUCRO REAL %]]</f>
        <v>2.2324099096039607</v>
      </c>
      <c r="L90" s="24"/>
      <c r="M90" s="54">
        <f>IF(Tabela25[[#This Row],[QUANT. VENDA]]=0,0,((Tabela25[[#This Row],[CUSTO]]*Tabela25[[#This Row],[QUANT. VENDA]])/(Tabela25[[#This Row],[QUANT. VENDA]]*Tabela25[[#This Row],[PREÇO PRATICADO]])))</f>
        <v>0</v>
      </c>
      <c r="N90" s="48">
        <f>VLOOKUP(Tabela25[[#This Row],[CÓDIGO]],'[1]Estrutura Loja'!$B$3:$E$1825,4,0)</f>
        <v>3.0255900903960393</v>
      </c>
      <c r="O90" s="48">
        <f>Tabela25[[#This Row],[QUANT. VENDA]]*Tabela25[[#This Row],[PREÇO PRATICADO]]</f>
        <v>0</v>
      </c>
      <c r="P90" s="48">
        <f>Tabela25[[#This Row],[QUANT. VENDA]]*Tabela25[[#This Row],[CUSTO]]</f>
        <v>0</v>
      </c>
      <c r="Q90" s="49">
        <f>Tabela25[[#This Row],[CUSTO]]/Tabela25[[#This Row],[PREÇO PRATICADO]]</f>
        <v>0.27505364458145815</v>
      </c>
    </row>
    <row r="91" spans="1:17" ht="15.75" customHeight="1" x14ac:dyDescent="0.3">
      <c r="A91" s="42">
        <v>101300002</v>
      </c>
      <c r="B91" s="28">
        <v>1013</v>
      </c>
      <c r="C91" s="28" t="str">
        <f>VLOOKUP(Tabela25[[#This Row],[GRUPO]],[1]Produto!H140:I512,2,0)</f>
        <v>Big Sundae</v>
      </c>
      <c r="D91" s="43" t="s">
        <v>109</v>
      </c>
      <c r="E91" s="44">
        <v>11</v>
      </c>
      <c r="F91" s="44">
        <v>13</v>
      </c>
      <c r="G91" s="21">
        <f>VLOOKUP(Tabela25[[#This Row],[CÓDIGO]],'[1]Estrutura Loja'!$B$3:$M$2941,5,0)</f>
        <v>10.890478279435854</v>
      </c>
      <c r="H91" s="45">
        <f t="shared" si="1"/>
        <v>0.10952172056414611</v>
      </c>
      <c r="I91" s="44">
        <v>11</v>
      </c>
      <c r="J9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0.20276791257425747</v>
      </c>
      <c r="K91" s="46">
        <f>Tabela25[[#This Row],[PREÇO PRATICADO]]*Tabela25[[#This Row],[LUCRO REAL %]]</f>
        <v>2.2304470383168322</v>
      </c>
      <c r="L91" s="24"/>
      <c r="M91" s="54">
        <f>IF(Tabela25[[#This Row],[QUANT. VENDA]]=0,0,((Tabela25[[#This Row],[CUSTO]]*Tabela25[[#This Row],[QUANT. VENDA]])/(Tabela25[[#This Row],[QUANT. VENDA]]*Tabela25[[#This Row],[PREÇO PRATICADO]])))</f>
        <v>0</v>
      </c>
      <c r="N91" s="48">
        <f>VLOOKUP(Tabela25[[#This Row],[CÓDIGO]],'[1]Estrutura Loja'!$B$3:$E$1825,4,0)</f>
        <v>3.0275529616831678</v>
      </c>
      <c r="O91" s="48">
        <f>Tabela25[[#This Row],[QUANT. VENDA]]*Tabela25[[#This Row],[PREÇO PRATICADO]]</f>
        <v>0</v>
      </c>
      <c r="P91" s="48">
        <f>Tabela25[[#This Row],[QUANT. VENDA]]*Tabela25[[#This Row],[CUSTO]]</f>
        <v>0</v>
      </c>
      <c r="Q91" s="49">
        <f>Tabela25[[#This Row],[CUSTO]]/Tabela25[[#This Row],[PREÇO PRATICADO]]</f>
        <v>0.27523208742574251</v>
      </c>
    </row>
    <row r="92" spans="1:17" ht="15.75" customHeight="1" x14ac:dyDescent="0.3">
      <c r="A92" s="42">
        <v>101300003</v>
      </c>
      <c r="B92" s="28">
        <v>1013</v>
      </c>
      <c r="C92" s="28" t="str">
        <f>VLOOKUP(Tabela25[[#This Row],[GRUPO]],[1]Produto!H152:I513,2,0)</f>
        <v>Big Sundae</v>
      </c>
      <c r="D92" s="43" t="s">
        <v>110</v>
      </c>
      <c r="E92" s="44">
        <v>11</v>
      </c>
      <c r="F92" s="44">
        <v>13</v>
      </c>
      <c r="G92" s="21">
        <f>VLOOKUP(Tabela25[[#This Row],[CÓDIGO]],'[1]Estrutura Loja'!$B$3:$M$2941,5,0)</f>
        <v>10.980993985682739</v>
      </c>
      <c r="H92" s="45">
        <f t="shared" si="1"/>
        <v>1.9006014317261233E-2</v>
      </c>
      <c r="I92" s="44">
        <v>11</v>
      </c>
      <c r="J9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0.20048033381638167</v>
      </c>
      <c r="K92" s="46">
        <f>Tabela25[[#This Row],[PREÇO PRATICADO]]*Tabela25[[#This Row],[LUCRO REAL %]]</f>
        <v>2.2052836719801983</v>
      </c>
      <c r="L92" s="24"/>
      <c r="M92" s="54">
        <f>IF(Tabela25[[#This Row],[QUANT. VENDA]]=0,0,((Tabela25[[#This Row],[CUSTO]]*Tabela25[[#This Row],[QUANT. VENDA]])/(Tabela25[[#This Row],[QUANT. VENDA]]*Tabela25[[#This Row],[PREÇO PRATICADO]])))</f>
        <v>0</v>
      </c>
      <c r="N92" s="48">
        <f>VLOOKUP(Tabela25[[#This Row],[CÓDIGO]],'[1]Estrutura Loja'!$B$3:$E$1825,4,0)</f>
        <v>3.0527163280198018</v>
      </c>
      <c r="O92" s="48">
        <f>Tabela25[[#This Row],[QUANT. VENDA]]*Tabela25[[#This Row],[PREÇO PRATICADO]]</f>
        <v>0</v>
      </c>
      <c r="P92" s="48">
        <f>Tabela25[[#This Row],[QUANT. VENDA]]*Tabela25[[#This Row],[CUSTO]]</f>
        <v>0</v>
      </c>
      <c r="Q92" s="49">
        <f>Tabela25[[#This Row],[CUSTO]]/Tabela25[[#This Row],[PREÇO PRATICADO]]</f>
        <v>0.27751966618361834</v>
      </c>
    </row>
    <row r="93" spans="1:17" ht="15.75" customHeight="1" x14ac:dyDescent="0.3">
      <c r="A93" s="66">
        <v>101300004</v>
      </c>
      <c r="B93" s="28">
        <v>1013</v>
      </c>
      <c r="C93" s="28" t="str">
        <f>VLOOKUP(Tabela25[[#This Row],[GRUPO]],[1]Produto!H153:I514,2,0)</f>
        <v>Big Sundae</v>
      </c>
      <c r="D93" s="51" t="s">
        <v>111</v>
      </c>
      <c r="E93" s="36">
        <v>20</v>
      </c>
      <c r="F93" s="36">
        <v>22</v>
      </c>
      <c r="G93" s="37">
        <f>VLOOKUP(Tabela25[[#This Row],[CÓDIGO]],'[1]Estrutura Loja'!$B$3:$M$2941,5,0)</f>
        <v>20.434899748201438</v>
      </c>
      <c r="H93" s="37">
        <f t="shared" si="1"/>
        <v>-0.43489974820143829</v>
      </c>
      <c r="I93" s="36">
        <v>20</v>
      </c>
      <c r="J9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0.19395489349999989</v>
      </c>
      <c r="K93" s="46">
        <f>Tabela25[[#This Row],[PREÇO PRATICADO]]*Tabela25[[#This Row],[LUCRO REAL %]]</f>
        <v>3.8790978699999981</v>
      </c>
      <c r="L93" s="24"/>
      <c r="M93" s="54">
        <f>IF(Tabela25[[#This Row],[QUANT. VENDA]]=0,0,((Tabela25[[#This Row],[CUSTO]]*Tabela25[[#This Row],[QUANT. VENDA]])/(Tabela25[[#This Row],[QUANT. VENDA]]*Tabela25[[#This Row],[PREÇO PRATICADO]])))</f>
        <v>0</v>
      </c>
      <c r="N93" s="48">
        <f>VLOOKUP(Tabela25[[#This Row],[CÓDIGO]],'[1]Estrutura Loja'!$B$3:$E$1825,4,0)</f>
        <v>5.6809021300000007</v>
      </c>
      <c r="O93" s="48">
        <f>Tabela25[[#This Row],[QUANT. VENDA]]*Tabela25[[#This Row],[PREÇO PRATICADO]]</f>
        <v>0</v>
      </c>
      <c r="P93" s="48">
        <f>Tabela25[[#This Row],[QUANT. VENDA]]*Tabela25[[#This Row],[CUSTO]]</f>
        <v>0</v>
      </c>
      <c r="Q93" s="49">
        <f>Tabela25[[#This Row],[CUSTO]]/Tabela25[[#This Row],[PREÇO PRATICADO]]</f>
        <v>0.28404510650000003</v>
      </c>
    </row>
    <row r="94" spans="1:17" ht="15.75" customHeight="1" x14ac:dyDescent="0.3">
      <c r="A94" s="68">
        <v>102200001</v>
      </c>
      <c r="B94" s="69">
        <v>1022</v>
      </c>
      <c r="C94" s="28" t="str">
        <f>VLOOKUP(Tabela25[[#This Row],[GRUPO]],[1]Produto!H119:I442,2,0)</f>
        <v>Bubble Waffle</v>
      </c>
      <c r="D94" s="70" t="s">
        <v>112</v>
      </c>
      <c r="E94" s="71">
        <v>14</v>
      </c>
      <c r="F94" s="71">
        <v>16</v>
      </c>
      <c r="G94" s="72">
        <f>VLOOKUP(Tabela25[[#This Row],[CÓDIGO]],'[1]Estrutura Loja'!$B$3:$M$2941,5,0)</f>
        <v>13.825439995336501</v>
      </c>
      <c r="H94" s="72">
        <f t="shared" si="1"/>
        <v>0.17456000466349941</v>
      </c>
      <c r="I94" s="71">
        <v>15</v>
      </c>
      <c r="J94" s="73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0.22176851208643017</v>
      </c>
      <c r="K94" s="74">
        <f>Tabela25[[#This Row],[PREÇO PRATICADO]]*Tabela25[[#This Row],[LUCRO REAL %]]</f>
        <v>3.3265276812964526</v>
      </c>
      <c r="L94" s="75"/>
      <c r="M94" s="54">
        <f>IF(Tabela25[[#This Row],[QUANT. VENDA]]=0,0,((Tabela25[[#This Row],[CUSTO]]*Tabela25[[#This Row],[QUANT. VENDA]])/(Tabela25[[#This Row],[QUANT. VENDA]]*Tabela25[[#This Row],[PREÇO PRATICADO]])))</f>
        <v>0</v>
      </c>
      <c r="N94" s="39">
        <f>VLOOKUP(Tabela25[[#This Row],[CÓDIGO]],'[1]Estrutura Loja'!$B$3:$E$1825,4,0)</f>
        <v>3.8434723187035473</v>
      </c>
      <c r="O94" s="72">
        <f>Tabela25[[#This Row],[QUANT. VENDA]]*Tabela25[[#This Row],[PREÇO PRATICADO]]</f>
        <v>0</v>
      </c>
      <c r="P94" s="72">
        <f>Tabela25[[#This Row],[QUANT. VENDA]]*Tabela25[[#This Row],[CUSTO]]</f>
        <v>0</v>
      </c>
      <c r="Q94" s="55">
        <f>Tabela25[[#This Row],[CUSTO]]/Tabela25[[#This Row],[PREÇO PRATICADO]]</f>
        <v>0.25623148791356981</v>
      </c>
    </row>
    <row r="95" spans="1:17" ht="15.75" customHeight="1" x14ac:dyDescent="0.3">
      <c r="A95" s="68">
        <v>102200002</v>
      </c>
      <c r="B95" s="69">
        <v>1022</v>
      </c>
      <c r="C95" s="28" t="str">
        <f>VLOOKUP(Tabela25[[#This Row],[GRUPO]],[1]Produto!H120:I443,2,0)</f>
        <v>Bubble Waffle</v>
      </c>
      <c r="D95" s="70" t="s">
        <v>113</v>
      </c>
      <c r="E95" s="71">
        <v>14</v>
      </c>
      <c r="F95" s="71">
        <v>16</v>
      </c>
      <c r="G95" s="72">
        <f>VLOOKUP(Tabela25[[#This Row],[CÓDIGO]],'[1]Estrutura Loja'!$B$3:$M$2941,5,0)</f>
        <v>14.384023551429124</v>
      </c>
      <c r="H95" s="72">
        <f t="shared" si="1"/>
        <v>-0.3840235514291237</v>
      </c>
      <c r="I95" s="71">
        <v>15</v>
      </c>
      <c r="J95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0.21141609684684687</v>
      </c>
      <c r="K95" s="77">
        <f>Tabela25[[#This Row],[PREÇO PRATICADO]]*Tabela25[[#This Row],[LUCRO REAL %]]</f>
        <v>3.1712414527027031</v>
      </c>
      <c r="L95" s="75"/>
      <c r="M95" s="54">
        <f>IF(Tabela25[[#This Row],[QUANT. VENDA]]=0,0,((Tabela25[[#This Row],[CUSTO]]*Tabela25[[#This Row],[QUANT. VENDA]])/(Tabela25[[#This Row],[QUANT. VENDA]]*Tabela25[[#This Row],[PREÇO PRATICADO]])))</f>
        <v>0</v>
      </c>
      <c r="N95" s="39">
        <f>VLOOKUP(Tabela25[[#This Row],[CÓDIGO]],'[1]Estrutura Loja'!$B$3:$E$1825,4,0)</f>
        <v>3.9987585472972969</v>
      </c>
      <c r="O95" s="72">
        <f>Tabela25[[#This Row],[QUANT. VENDA]]*Tabela25[[#This Row],[PREÇO PRATICADO]]</f>
        <v>0</v>
      </c>
      <c r="P95" s="72">
        <f>Tabela25[[#This Row],[QUANT. VENDA]]*Tabela25[[#This Row],[CUSTO]]</f>
        <v>0</v>
      </c>
      <c r="Q95" s="55">
        <f>Tabela25[[#This Row],[CUSTO]]/Tabela25[[#This Row],[PREÇO PRATICADO]]</f>
        <v>0.26658390315315311</v>
      </c>
    </row>
    <row r="96" spans="1:17" ht="15.75" customHeight="1" x14ac:dyDescent="0.3">
      <c r="A96" s="68">
        <v>102200098</v>
      </c>
      <c r="B96" s="69">
        <v>1022</v>
      </c>
      <c r="C96" s="34" t="str">
        <f>VLOOKUP(Tabela25[[#This Row],[GRUPO]],[1]Produto!H91:I440,2,0)</f>
        <v>Bubble Waffle</v>
      </c>
      <c r="D96" s="70" t="s">
        <v>114</v>
      </c>
      <c r="E96" s="71">
        <v>19</v>
      </c>
      <c r="F96" s="71">
        <v>21</v>
      </c>
      <c r="G96" s="72">
        <f>VLOOKUP(Tabela25[[#This Row],[CÓDIGO]],'[1]Estrutura Loja'!$B$3:$M$2941,5,0)</f>
        <v>19.368308060470543</v>
      </c>
      <c r="H96" s="72">
        <f t="shared" si="1"/>
        <v>-0.3683080604705431</v>
      </c>
      <c r="I96" s="71">
        <v>20</v>
      </c>
      <c r="J96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0.20878051795945937</v>
      </c>
      <c r="K96" s="77">
        <f>Tabela25[[#This Row],[PREÇO PRATICADO]]*Tabela25[[#This Row],[LUCRO REAL %]]</f>
        <v>4.1756103591891875</v>
      </c>
      <c r="L96" s="75"/>
      <c r="M96" s="67">
        <f>IF(Tabela25[[#This Row],[QUANT. VENDA]]=0,0,((Tabela25[[#This Row],[CUSTO]]*Tabela25[[#This Row],[QUANT. VENDA]])/(Tabela25[[#This Row],[QUANT. VENDA]]*Tabela25[[#This Row],[PREÇO PRATICADO]])))</f>
        <v>0</v>
      </c>
      <c r="N96" s="39">
        <f>VLOOKUP(Tabela25[[#This Row],[CÓDIGO]],'[1]Estrutura Loja'!$B$3:$E$1825,4,0)</f>
        <v>5.3843896408108112</v>
      </c>
      <c r="O96" s="72">
        <f>Tabela25[[#This Row],[QUANT. VENDA]]*Tabela25[[#This Row],[PREÇO PRATICADO]]</f>
        <v>0</v>
      </c>
      <c r="P96" s="72">
        <f>Tabela25[[#This Row],[QUANT. VENDA]]*Tabela25[[#This Row],[CUSTO]]</f>
        <v>0</v>
      </c>
      <c r="Q96" s="55">
        <f>Tabela25[[#This Row],[CUSTO]]/Tabela25[[#This Row],[PREÇO PRATICADO]]</f>
        <v>0.26921948204054058</v>
      </c>
    </row>
    <row r="97" spans="1:17" ht="15.75" customHeight="1" x14ac:dyDescent="0.3">
      <c r="A97" s="68">
        <v>102200099</v>
      </c>
      <c r="B97" s="69">
        <v>1022</v>
      </c>
      <c r="C97" s="34" t="str">
        <f>VLOOKUP(Tabela25[[#This Row],[GRUPO]],[1]Produto!H92:I441,2,0)</f>
        <v>Bubble Waffle</v>
      </c>
      <c r="D97" s="70" t="s">
        <v>115</v>
      </c>
      <c r="E97" s="71">
        <v>21</v>
      </c>
      <c r="F97" s="71">
        <v>23</v>
      </c>
      <c r="G97" s="72">
        <f>VLOOKUP(Tabela25[[#This Row],[CÓDIGO]],'[1]Estrutura Loja'!$B$3:$M$2941,5,0)</f>
        <v>21.785475470542487</v>
      </c>
      <c r="H97" s="72">
        <f t="shared" si="1"/>
        <v>-0.78547547054248668</v>
      </c>
      <c r="I97" s="71">
        <v>21</v>
      </c>
      <c r="J97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0.18960180091377088</v>
      </c>
      <c r="K97" s="77">
        <f>Tabela25[[#This Row],[PREÇO PRATICADO]]*Tabela25[[#This Row],[LUCRO REAL %]]</f>
        <v>3.9816378191891886</v>
      </c>
      <c r="L97" s="75"/>
      <c r="M97" s="67">
        <f>IF(Tabela25[[#This Row],[QUANT. VENDA]]=0,0,((Tabela25[[#This Row],[CUSTO]]*Tabela25[[#This Row],[QUANT. VENDA]])/(Tabela25[[#This Row],[QUANT. VENDA]]*Tabela25[[#This Row],[PREÇO PRATICADO]])))</f>
        <v>0</v>
      </c>
      <c r="N97" s="39">
        <f>VLOOKUP(Tabela25[[#This Row],[CÓDIGO]],'[1]Estrutura Loja'!$B$3:$E$1825,4,0)</f>
        <v>6.0563621808108117</v>
      </c>
      <c r="O97" s="72">
        <f>Tabela25[[#This Row],[QUANT. VENDA]]*Tabela25[[#This Row],[PREÇO PRATICADO]]</f>
        <v>0</v>
      </c>
      <c r="P97" s="72">
        <f>Tabela25[[#This Row],[QUANT. VENDA]]*Tabela25[[#This Row],[CUSTO]]</f>
        <v>0</v>
      </c>
      <c r="Q97" s="55">
        <f>Tabela25[[#This Row],[CUSTO]]/Tabela25[[#This Row],[PREÇO PRATICADO]]</f>
        <v>0.2883981990862291</v>
      </c>
    </row>
    <row r="98" spans="1:17" ht="15.75" customHeight="1" x14ac:dyDescent="0.3">
      <c r="A98" s="68">
        <v>120000001</v>
      </c>
      <c r="B98" s="69">
        <v>1022</v>
      </c>
      <c r="C98" s="28" t="str">
        <f>VLOOKUP(Tabela25[[#This Row],[GRUPO]],[1]Produto!H121:I444,2,0)</f>
        <v>Bubble Waffle</v>
      </c>
      <c r="D98" s="70" t="s">
        <v>116</v>
      </c>
      <c r="E98" s="71">
        <v>1.5</v>
      </c>
      <c r="F98" s="71">
        <v>2.5</v>
      </c>
      <c r="G98" s="72">
        <f>VLOOKUP(Tabela25[[#This Row],[CÓDIGO]],'[1]Estrutura Loja'!$B$3:$M$2941,5,0)</f>
        <v>1.2768705035971222</v>
      </c>
      <c r="H98" s="72">
        <f t="shared" si="1"/>
        <v>0.22312949640287782</v>
      </c>
      <c r="I98" s="71">
        <v>1.5</v>
      </c>
      <c r="J98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0.24135333333333331</v>
      </c>
      <c r="K98" s="77">
        <f>Tabela25[[#This Row],[PREÇO PRATICADO]]*Tabela25[[#This Row],[LUCRO REAL %]]</f>
        <v>0.36202999999999996</v>
      </c>
      <c r="L98" s="75"/>
      <c r="M98" s="54">
        <f>IF(Tabela25[[#This Row],[QUANT. VENDA]]=0,0,((Tabela25[[#This Row],[CUSTO]]*Tabela25[[#This Row],[QUANT. VENDA]])/(Tabela25[[#This Row],[QUANT. VENDA]]*Tabela25[[#This Row],[PREÇO PRATICADO]])))</f>
        <v>0</v>
      </c>
      <c r="N98" s="39">
        <f>VLOOKUP(Tabela25[[#This Row],[CÓDIGO]],'[1]Estrutura Loja'!$B$3:$E$1825,4,0)</f>
        <v>0.35497000000000001</v>
      </c>
      <c r="O98" s="72">
        <f>Tabela25[[#This Row],[QUANT. VENDA]]*Tabela25[[#This Row],[PREÇO PRATICADO]]</f>
        <v>0</v>
      </c>
      <c r="P98" s="72">
        <f>Tabela25[[#This Row],[QUANT. VENDA]]*Tabela25[[#This Row],[CUSTO]]</f>
        <v>0</v>
      </c>
      <c r="Q98" s="55">
        <f>Tabela25[[#This Row],[CUSTO]]/Tabela25[[#This Row],[PREÇO PRATICADO]]</f>
        <v>0.23664666666666667</v>
      </c>
    </row>
    <row r="99" spans="1:17" ht="15.75" customHeight="1" x14ac:dyDescent="0.3">
      <c r="A99" s="68">
        <v>120000002</v>
      </c>
      <c r="B99" s="69">
        <v>1022</v>
      </c>
      <c r="C99" s="28" t="str">
        <f>VLOOKUP(Tabela25[[#This Row],[GRUPO]],[1]Produto!H122:I445,2,0)</f>
        <v>Bubble Waffle</v>
      </c>
      <c r="D99" s="70" t="s">
        <v>117</v>
      </c>
      <c r="E99" s="71">
        <v>1</v>
      </c>
      <c r="F99" s="71">
        <v>2</v>
      </c>
      <c r="G99" s="72">
        <f>VLOOKUP(Tabela25[[#This Row],[CÓDIGO]],'[1]Estrutura Loja'!$B$3:$M$2941,5,0)</f>
        <v>0.45928057553956836</v>
      </c>
      <c r="H99" s="72">
        <f t="shared" si="1"/>
        <v>0.54071942446043164</v>
      </c>
      <c r="I99" s="71">
        <v>1</v>
      </c>
      <c r="J99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0.35031999999999996</v>
      </c>
      <c r="K99" s="77">
        <f>Tabela25[[#This Row],[PREÇO PRATICADO]]*Tabela25[[#This Row],[LUCRO REAL %]]</f>
        <v>0.35031999999999996</v>
      </c>
      <c r="L99" s="75"/>
      <c r="M99" s="54">
        <f>IF(Tabela25[[#This Row],[QUANT. VENDA]]=0,0,((Tabela25[[#This Row],[CUSTO]]*Tabela25[[#This Row],[QUANT. VENDA]])/(Tabela25[[#This Row],[QUANT. VENDA]]*Tabela25[[#This Row],[PREÇO PRATICADO]])))</f>
        <v>0</v>
      </c>
      <c r="N99" s="39">
        <f>VLOOKUP(Tabela25[[#This Row],[CÓDIGO]],'[1]Estrutura Loja'!$B$3:$E$1825,4,0)</f>
        <v>0.12768000000000002</v>
      </c>
      <c r="O99" s="72">
        <f>Tabela25[[#This Row],[QUANT. VENDA]]*Tabela25[[#This Row],[PREÇO PRATICADO]]</f>
        <v>0</v>
      </c>
      <c r="P99" s="72">
        <f>Tabela25[[#This Row],[QUANT. VENDA]]*Tabela25[[#This Row],[CUSTO]]</f>
        <v>0</v>
      </c>
      <c r="Q99" s="55">
        <f>Tabela25[[#This Row],[CUSTO]]/Tabela25[[#This Row],[PREÇO PRATICADO]]</f>
        <v>0.12768000000000002</v>
      </c>
    </row>
    <row r="100" spans="1:17" ht="15.75" customHeight="1" x14ac:dyDescent="0.3">
      <c r="A100" s="68">
        <v>120000003</v>
      </c>
      <c r="B100" s="69">
        <v>1022</v>
      </c>
      <c r="C100" s="28" t="str">
        <f>VLOOKUP(Tabela25[[#This Row],[GRUPO]],[1]Produto!H123:I446,2,0)</f>
        <v>Bubble Waffle</v>
      </c>
      <c r="D100" s="70" t="s">
        <v>118</v>
      </c>
      <c r="E100" s="71">
        <v>6.5</v>
      </c>
      <c r="F100" s="71">
        <v>7.5</v>
      </c>
      <c r="G100" s="72">
        <f>VLOOKUP(Tabela25[[#This Row],[CÓDIGO]],'[1]Estrutura Loja'!$B$3:$M$2941,5,0)</f>
        <v>5.6654676258992795</v>
      </c>
      <c r="H100" s="72">
        <f t="shared" si="1"/>
        <v>0.83453237410072045</v>
      </c>
      <c r="I100" s="71">
        <v>6.5</v>
      </c>
      <c r="J100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0.23569230769230767</v>
      </c>
      <c r="K100" s="77">
        <f>Tabela25[[#This Row],[PREÇO PRATICADO]]*Tabela25[[#This Row],[LUCRO REAL %]]</f>
        <v>1.5319999999999998</v>
      </c>
      <c r="L100" s="75"/>
      <c r="M100" s="54">
        <f>IF(Tabela25[[#This Row],[QUANT. VENDA]]=0,0,((Tabela25[[#This Row],[CUSTO]]*Tabela25[[#This Row],[QUANT. VENDA]])/(Tabela25[[#This Row],[QUANT. VENDA]]*Tabela25[[#This Row],[PREÇO PRATICADO]])))</f>
        <v>0</v>
      </c>
      <c r="N100" s="39">
        <f>VLOOKUP(Tabela25[[#This Row],[CÓDIGO]],'[1]Estrutura Loja'!$B$3:$E$1825,4,0)</f>
        <v>1.575</v>
      </c>
      <c r="O100" s="72">
        <f>Tabela25[[#This Row],[QUANT. VENDA]]*Tabela25[[#This Row],[PREÇO PRATICADO]]</f>
        <v>0</v>
      </c>
      <c r="P100" s="72">
        <f>Tabela25[[#This Row],[QUANT. VENDA]]*Tabela25[[#This Row],[CUSTO]]</f>
        <v>0</v>
      </c>
      <c r="Q100" s="55">
        <f>Tabela25[[#This Row],[CUSTO]]/Tabela25[[#This Row],[PREÇO PRATICADO]]</f>
        <v>0.24230769230769231</v>
      </c>
    </row>
    <row r="101" spans="1:17" ht="15.75" customHeight="1" x14ac:dyDescent="0.3">
      <c r="A101" s="68">
        <v>120000004</v>
      </c>
      <c r="B101" s="69">
        <v>1022</v>
      </c>
      <c r="C101" s="28" t="str">
        <f>VLOOKUP(Tabela25[[#This Row],[GRUPO]],[1]Produto!H124:I460,2,0)</f>
        <v>Bubble Waffle</v>
      </c>
      <c r="D101" s="70" t="s">
        <v>119</v>
      </c>
      <c r="E101" s="71">
        <v>6</v>
      </c>
      <c r="F101" s="71">
        <v>7</v>
      </c>
      <c r="G101" s="72">
        <f>VLOOKUP(Tabela25[[#This Row],[CÓDIGO]],'[1]Estrutura Loja'!$B$3:$M$2941,5,0)</f>
        <v>5.9273381294964027</v>
      </c>
      <c r="H101" s="72">
        <f t="shared" si="1"/>
        <v>7.2661870503597292E-2</v>
      </c>
      <c r="I101" s="71">
        <v>6</v>
      </c>
      <c r="J101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0.20336666666666661</v>
      </c>
      <c r="K101" s="77">
        <f>Tabela25[[#This Row],[PREÇO PRATICADO]]*Tabela25[[#This Row],[LUCRO REAL %]]</f>
        <v>1.2201999999999997</v>
      </c>
      <c r="L101" s="75"/>
      <c r="M101" s="54">
        <f>IF(Tabela25[[#This Row],[QUANT. VENDA]]=0,0,((Tabela25[[#This Row],[CUSTO]]*Tabela25[[#This Row],[QUANT. VENDA]])/(Tabela25[[#This Row],[QUANT. VENDA]]*Tabela25[[#This Row],[PREÇO PRATICADO]])))</f>
        <v>0</v>
      </c>
      <c r="N101" s="39">
        <f>VLOOKUP(Tabela25[[#This Row],[CÓDIGO]],'[1]Estrutura Loja'!$B$3:$E$1825,4,0)</f>
        <v>1.6478000000000002</v>
      </c>
      <c r="O101" s="72">
        <f>Tabela25[[#This Row],[QUANT. VENDA]]*Tabela25[[#This Row],[PREÇO PRATICADO]]</f>
        <v>0</v>
      </c>
      <c r="P101" s="72">
        <f>Tabela25[[#This Row],[QUANT. VENDA]]*Tabela25[[#This Row],[CUSTO]]</f>
        <v>0</v>
      </c>
      <c r="Q101" s="55">
        <f>Tabela25[[#This Row],[CUSTO]]/Tabela25[[#This Row],[PREÇO PRATICADO]]</f>
        <v>0.27463333333333334</v>
      </c>
    </row>
    <row r="102" spans="1:17" ht="16.5" customHeight="1" x14ac:dyDescent="0.3">
      <c r="A102" s="68">
        <v>120000005</v>
      </c>
      <c r="B102" s="69">
        <v>1022</v>
      </c>
      <c r="C102" s="28" t="str">
        <f>VLOOKUP(Tabela25[[#This Row],[GRUPO]],[1]Produto!H125:I461,2,0)</f>
        <v>Bubble Waffle</v>
      </c>
      <c r="D102" s="70" t="s">
        <v>120</v>
      </c>
      <c r="E102" s="71">
        <v>2</v>
      </c>
      <c r="F102" s="71">
        <v>3</v>
      </c>
      <c r="G102" s="72">
        <f>VLOOKUP(Tabela25[[#This Row],[CÓDIGO]],'[1]Estrutura Loja'!$B$3:$M$2941,5,0)</f>
        <v>1.2223092812878409</v>
      </c>
      <c r="H102" s="72">
        <f t="shared" si="1"/>
        <v>0.77769071871215911</v>
      </c>
      <c r="I102" s="71">
        <v>2</v>
      </c>
      <c r="J102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0.30809900990099004</v>
      </c>
      <c r="K102" s="77">
        <f>Tabela25[[#This Row],[PREÇO PRATICADO]]*Tabela25[[#This Row],[LUCRO REAL %]]</f>
        <v>0.61619801980198008</v>
      </c>
      <c r="L102" s="75"/>
      <c r="M102" s="54">
        <f>IF(Tabela25[[#This Row],[QUANT. VENDA]]=0,0,((Tabela25[[#This Row],[CUSTO]]*Tabela25[[#This Row],[QUANT. VENDA]])/(Tabela25[[#This Row],[QUANT. VENDA]]*Tabela25[[#This Row],[PREÇO PRATICADO]])))</f>
        <v>0</v>
      </c>
      <c r="N102" s="39">
        <f>VLOOKUP(Tabela25[[#This Row],[CÓDIGO]],'[1]Estrutura Loja'!$B$3:$E$1825,4,0)</f>
        <v>0.33980198019801983</v>
      </c>
      <c r="O102" s="72">
        <f>Tabela25[[#This Row],[QUANT. VENDA]]*Tabela25[[#This Row],[PREÇO PRATICADO]]</f>
        <v>0</v>
      </c>
      <c r="P102" s="72">
        <f>Tabela25[[#This Row],[QUANT. VENDA]]*Tabela25[[#This Row],[CUSTO]]</f>
        <v>0</v>
      </c>
      <c r="Q102" s="55">
        <f>Tabela25[[#This Row],[CUSTO]]/Tabela25[[#This Row],[PREÇO PRATICADO]]</f>
        <v>0.16990099009900991</v>
      </c>
    </row>
    <row r="103" spans="1:17" ht="15.75" customHeight="1" x14ac:dyDescent="0.3">
      <c r="A103" s="68">
        <v>120000006</v>
      </c>
      <c r="B103" s="69">
        <v>1022</v>
      </c>
      <c r="C103" s="28" t="str">
        <f>VLOOKUP(Tabela25[[#This Row],[GRUPO]],[1]Produto!H126:I462,2,0)</f>
        <v>Bubble Waffle</v>
      </c>
      <c r="D103" s="70" t="s">
        <v>121</v>
      </c>
      <c r="E103" s="71">
        <v>3</v>
      </c>
      <c r="F103" s="71">
        <v>3</v>
      </c>
      <c r="G103" s="72">
        <f>VLOOKUP(Tabela25[[#This Row],[CÓDIGO]],'[1]Estrutura Loja'!$B$3:$M$2941,5,0)</f>
        <v>1.6722110311750598</v>
      </c>
      <c r="H103" s="72">
        <f t="shared" si="1"/>
        <v>1.3277889688249402</v>
      </c>
      <c r="I103" s="71">
        <v>2</v>
      </c>
      <c r="J103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0.24556266666666665</v>
      </c>
      <c r="K103" s="77">
        <f>Tabela25[[#This Row],[PREÇO PRATICADO]]*Tabela25[[#This Row],[LUCRO REAL %]]</f>
        <v>0.4911253333333333</v>
      </c>
      <c r="L103" s="75"/>
      <c r="M103" s="54">
        <f>IF(Tabela25[[#This Row],[QUANT. VENDA]]=0,0,((Tabela25[[#This Row],[CUSTO]]*Tabela25[[#This Row],[QUANT. VENDA]])/(Tabela25[[#This Row],[QUANT. VENDA]]*Tabela25[[#This Row],[PREÇO PRATICADO]])))</f>
        <v>0</v>
      </c>
      <c r="N103" s="39">
        <f>VLOOKUP(Tabela25[[#This Row],[CÓDIGO]],'[1]Estrutura Loja'!$B$3:$E$1825,4,0)</f>
        <v>0.46487466666666666</v>
      </c>
      <c r="O103" s="72">
        <f>Tabela25[[#This Row],[QUANT. VENDA]]*Tabela25[[#This Row],[PREÇO PRATICADO]]</f>
        <v>0</v>
      </c>
      <c r="P103" s="72">
        <f>Tabela25[[#This Row],[QUANT. VENDA]]*Tabela25[[#This Row],[CUSTO]]</f>
        <v>0</v>
      </c>
      <c r="Q103" s="55">
        <f>Tabela25[[#This Row],[CUSTO]]/Tabela25[[#This Row],[PREÇO PRATICADO]]</f>
        <v>0.23243733333333333</v>
      </c>
    </row>
    <row r="104" spans="1:17" ht="15.75" customHeight="1" x14ac:dyDescent="0.3">
      <c r="A104" s="68">
        <v>120000007</v>
      </c>
      <c r="B104" s="69">
        <v>1022</v>
      </c>
      <c r="C104" s="28" t="str">
        <f>VLOOKUP(Tabela25[[#This Row],[GRUPO]],[1]Produto!H127:I463,2,0)</f>
        <v>Bubble Waffle</v>
      </c>
      <c r="D104" s="70" t="s">
        <v>122</v>
      </c>
      <c r="E104" s="71">
        <v>3</v>
      </c>
      <c r="F104" s="71">
        <v>4</v>
      </c>
      <c r="G104" s="72">
        <f>VLOOKUP(Tabela25[[#This Row],[CÓDIGO]],'[1]Estrutura Loja'!$B$3:$M$2941,5,0)</f>
        <v>2.5268645842819417</v>
      </c>
      <c r="H104" s="72">
        <f t="shared" si="1"/>
        <v>0.47313541571805828</v>
      </c>
      <c r="I104" s="71">
        <v>3</v>
      </c>
      <c r="J104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0.24384388185654005</v>
      </c>
      <c r="K104" s="77">
        <f>Tabela25[[#This Row],[PREÇO PRATICADO]]*Tabela25[[#This Row],[LUCRO REAL %]]</f>
        <v>0.73153164556962014</v>
      </c>
      <c r="L104" s="75"/>
      <c r="M104" s="54">
        <f>IF(Tabela25[[#This Row],[QUANT. VENDA]]=0,0,((Tabela25[[#This Row],[CUSTO]]*Tabela25[[#This Row],[QUANT. VENDA]])/(Tabela25[[#This Row],[QUANT. VENDA]]*Tabela25[[#This Row],[PREÇO PRATICADO]])))</f>
        <v>0</v>
      </c>
      <c r="N104" s="39">
        <f>VLOOKUP(Tabela25[[#This Row],[CÓDIGO]],'[1]Estrutura Loja'!$B$3:$E$1825,4,0)</f>
        <v>0.7024683544303798</v>
      </c>
      <c r="O104" s="72">
        <f>Tabela25[[#This Row],[QUANT. VENDA]]*Tabela25[[#This Row],[PREÇO PRATICADO]]</f>
        <v>0</v>
      </c>
      <c r="P104" s="72">
        <f>Tabela25[[#This Row],[QUANT. VENDA]]*Tabela25[[#This Row],[CUSTO]]</f>
        <v>0</v>
      </c>
      <c r="Q104" s="55">
        <f>Tabela25[[#This Row],[CUSTO]]/Tabela25[[#This Row],[PREÇO PRATICADO]]</f>
        <v>0.23415611814345993</v>
      </c>
    </row>
    <row r="105" spans="1:17" ht="15.75" customHeight="1" x14ac:dyDescent="0.3">
      <c r="A105" s="68">
        <v>120000008</v>
      </c>
      <c r="B105" s="69">
        <v>1022</v>
      </c>
      <c r="C105" s="28" t="str">
        <f>VLOOKUP(Tabela25[[#This Row],[GRUPO]],[1]Produto!H128:I464,2,0)</f>
        <v>Bubble Waffle</v>
      </c>
      <c r="D105" s="70" t="s">
        <v>123</v>
      </c>
      <c r="E105" s="71">
        <v>5</v>
      </c>
      <c r="F105" s="71">
        <v>6</v>
      </c>
      <c r="G105" s="72">
        <f>VLOOKUP(Tabela25[[#This Row],[CÓDIGO]],'[1]Estrutura Loja'!$B$3:$M$2941,5,0)</f>
        <v>4.4751798561151075</v>
      </c>
      <c r="H105" s="72">
        <f t="shared" si="1"/>
        <v>0.52482014388489251</v>
      </c>
      <c r="I105" s="71">
        <v>5</v>
      </c>
      <c r="J105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0.22917999999999994</v>
      </c>
      <c r="K105" s="77">
        <f>Tabela25[[#This Row],[PREÇO PRATICADO]]*Tabela25[[#This Row],[LUCRO REAL %]]</f>
        <v>1.1458999999999997</v>
      </c>
      <c r="L105" s="75"/>
      <c r="M105" s="54">
        <f>IF(Tabela25[[#This Row],[QUANT. VENDA]]=0,0,((Tabela25[[#This Row],[CUSTO]]*Tabela25[[#This Row],[QUANT. VENDA]])/(Tabela25[[#This Row],[QUANT. VENDA]]*Tabela25[[#This Row],[PREÇO PRATICADO]])))</f>
        <v>0</v>
      </c>
      <c r="N105" s="39">
        <f>VLOOKUP(Tabela25[[#This Row],[CÓDIGO]],'[1]Estrutura Loja'!$B$3:$E$1825,4,0)</f>
        <v>1.2441</v>
      </c>
      <c r="O105" s="72">
        <f>Tabela25[[#This Row],[QUANT. VENDA]]*Tabela25[[#This Row],[PREÇO PRATICADO]]</f>
        <v>0</v>
      </c>
      <c r="P105" s="72">
        <f>Tabela25[[#This Row],[QUANT. VENDA]]*Tabela25[[#This Row],[CUSTO]]</f>
        <v>0</v>
      </c>
      <c r="Q105" s="55">
        <f>Tabela25[[#This Row],[CUSTO]]/Tabela25[[#This Row],[PREÇO PRATICADO]]</f>
        <v>0.24881999999999999</v>
      </c>
    </row>
    <row r="106" spans="1:17" ht="15.75" customHeight="1" x14ac:dyDescent="0.3">
      <c r="A106" s="68">
        <v>120000009</v>
      </c>
      <c r="B106" s="69">
        <v>1022</v>
      </c>
      <c r="C106" s="28" t="str">
        <f>VLOOKUP(Tabela25[[#This Row],[GRUPO]],[1]Produto!H129:I465,2,0)</f>
        <v>Bubble Waffle</v>
      </c>
      <c r="D106" s="70" t="s">
        <v>124</v>
      </c>
      <c r="E106" s="71">
        <v>3</v>
      </c>
      <c r="F106" s="71">
        <v>6</v>
      </c>
      <c r="G106" s="72">
        <f>VLOOKUP(Tabela25[[#This Row],[CÓDIGO]],'[1]Estrutura Loja'!$B$3:$M$2941,5,0)</f>
        <v>4.8098663926002043</v>
      </c>
      <c r="H106" s="72">
        <f t="shared" si="1"/>
        <v>-1.8098663926002043</v>
      </c>
      <c r="I106" s="71">
        <v>5</v>
      </c>
      <c r="J106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0.21057142857142855</v>
      </c>
      <c r="K106" s="77">
        <f>Tabela25[[#This Row],[PREÇO PRATICADO]]*Tabela25[[#This Row],[LUCRO REAL %]]</f>
        <v>1.0528571428571427</v>
      </c>
      <c r="L106" s="75"/>
      <c r="M106" s="54">
        <f>IF(Tabela25[[#This Row],[QUANT. VENDA]]=0,0,((Tabela25[[#This Row],[CUSTO]]*Tabela25[[#This Row],[QUANT. VENDA]])/(Tabela25[[#This Row],[QUANT. VENDA]]*Tabela25[[#This Row],[PREÇO PRATICADO]])))</f>
        <v>0</v>
      </c>
      <c r="N106" s="39">
        <f>VLOOKUP(Tabela25[[#This Row],[CÓDIGO]],'[1]Estrutura Loja'!$B$3:$E$1825,4,0)</f>
        <v>1.337142857142857</v>
      </c>
      <c r="O106" s="72">
        <f>Tabela25[[#This Row],[QUANT. VENDA]]*Tabela25[[#This Row],[PREÇO PRATICADO]]</f>
        <v>0</v>
      </c>
      <c r="P106" s="72">
        <f>Tabela25[[#This Row],[QUANT. VENDA]]*Tabela25[[#This Row],[CUSTO]]</f>
        <v>0</v>
      </c>
      <c r="Q106" s="55">
        <f>Tabela25[[#This Row],[CUSTO]]/Tabela25[[#This Row],[PREÇO PRATICADO]]</f>
        <v>0.2674285714285714</v>
      </c>
    </row>
    <row r="107" spans="1:17" ht="15.75" customHeight="1" x14ac:dyDescent="0.3">
      <c r="A107" s="68">
        <v>120000010</v>
      </c>
      <c r="B107" s="69">
        <v>1022</v>
      </c>
      <c r="C107" s="28" t="str">
        <f>VLOOKUP(Tabela25[[#This Row],[GRUPO]],[1]Produto!H130:I466,2,0)</f>
        <v>Bubble Waffle</v>
      </c>
      <c r="D107" s="70" t="s">
        <v>125</v>
      </c>
      <c r="E107" s="71">
        <v>3.5</v>
      </c>
      <c r="F107" s="71">
        <v>3.5</v>
      </c>
      <c r="G107" s="72">
        <f>VLOOKUP(Tabela25[[#This Row],[CÓDIGO]],'[1]Estrutura Loja'!$B$3:$M$2941,5,0)</f>
        <v>2.3535746402877695</v>
      </c>
      <c r="H107" s="72">
        <f t="shared" si="1"/>
        <v>1.1464253597122305</v>
      </c>
      <c r="I107" s="71">
        <v>2.5</v>
      </c>
      <c r="J107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0.21628249999999993</v>
      </c>
      <c r="K107" s="77">
        <f>Tabela25[[#This Row],[PREÇO PRATICADO]]*Tabela25[[#This Row],[LUCRO REAL %]]</f>
        <v>0.54070624999999983</v>
      </c>
      <c r="L107" s="75"/>
      <c r="M107" s="54">
        <f>IF(Tabela25[[#This Row],[QUANT. VENDA]]=0,0,((Tabela25[[#This Row],[CUSTO]]*Tabela25[[#This Row],[QUANT. VENDA]])/(Tabela25[[#This Row],[QUANT. VENDA]]*Tabela25[[#This Row],[PREÇO PRATICADO]])))</f>
        <v>0</v>
      </c>
      <c r="N107" s="39">
        <f>VLOOKUP(Tabela25[[#This Row],[CÓDIGO]],'[1]Estrutura Loja'!$B$3:$E$1825,4,0)</f>
        <v>0.65429375000000001</v>
      </c>
      <c r="O107" s="72">
        <f>Tabela25[[#This Row],[QUANT. VENDA]]*Tabela25[[#This Row],[PREÇO PRATICADO]]</f>
        <v>0</v>
      </c>
      <c r="P107" s="72">
        <f>Tabela25[[#This Row],[QUANT. VENDA]]*Tabela25[[#This Row],[CUSTO]]</f>
        <v>0</v>
      </c>
      <c r="Q107" s="55">
        <f>Tabela25[[#This Row],[CUSTO]]/Tabela25[[#This Row],[PREÇO PRATICADO]]</f>
        <v>0.26171749999999999</v>
      </c>
    </row>
    <row r="108" spans="1:17" ht="15.75" customHeight="1" x14ac:dyDescent="0.3">
      <c r="A108" s="68">
        <v>120000011</v>
      </c>
      <c r="B108" s="69">
        <v>1022</v>
      </c>
      <c r="C108" s="28" t="str">
        <f>VLOOKUP(Tabela25[[#This Row],[GRUPO]],[1]Produto!H131:I468,2,0)</f>
        <v>Bubble Waffle</v>
      </c>
      <c r="D108" s="70" t="s">
        <v>126</v>
      </c>
      <c r="E108" s="71">
        <v>2</v>
      </c>
      <c r="F108" s="71">
        <v>3</v>
      </c>
      <c r="G108" s="72">
        <f>VLOOKUP(Tabela25[[#This Row],[CÓDIGO]],'[1]Estrutura Loja'!$B$3:$M$2941,5,0)</f>
        <v>2.0797122302158266</v>
      </c>
      <c r="H108" s="72">
        <f t="shared" si="1"/>
        <v>-7.9712230215826629E-2</v>
      </c>
      <c r="I108" s="71">
        <v>2</v>
      </c>
      <c r="J108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0.18892000000000003</v>
      </c>
      <c r="K108" s="77">
        <f>Tabela25[[#This Row],[PREÇO PRATICADO]]*Tabela25[[#This Row],[LUCRO REAL %]]</f>
        <v>0.37784000000000006</v>
      </c>
      <c r="L108" s="75"/>
      <c r="M108" s="54">
        <f>IF(Tabela25[[#This Row],[QUANT. VENDA]]=0,0,((Tabela25[[#This Row],[CUSTO]]*Tabela25[[#This Row],[QUANT. VENDA]])/(Tabela25[[#This Row],[QUANT. VENDA]]*Tabela25[[#This Row],[PREÇO PRATICADO]])))</f>
        <v>0</v>
      </c>
      <c r="N108" s="39">
        <f>VLOOKUP(Tabela25[[#This Row],[CÓDIGO]],'[1]Estrutura Loja'!$B$3:$E$1825,4,0)</f>
        <v>0.5781599999999999</v>
      </c>
      <c r="O108" s="72">
        <f>Tabela25[[#This Row],[QUANT. VENDA]]*Tabela25[[#This Row],[PREÇO PRATICADO]]</f>
        <v>0</v>
      </c>
      <c r="P108" s="72">
        <f>Tabela25[[#This Row],[QUANT. VENDA]]*Tabela25[[#This Row],[CUSTO]]</f>
        <v>0</v>
      </c>
      <c r="Q108" s="55">
        <f>Tabela25[[#This Row],[CUSTO]]/Tabela25[[#This Row],[PREÇO PRATICADO]]</f>
        <v>0.28907999999999995</v>
      </c>
    </row>
    <row r="109" spans="1:17" ht="15.75" customHeight="1" x14ac:dyDescent="0.3">
      <c r="A109" s="68">
        <v>120000012</v>
      </c>
      <c r="B109" s="69">
        <v>1022</v>
      </c>
      <c r="C109" s="28" t="str">
        <f>VLOOKUP(Tabela25[[#This Row],[GRUPO]],[1]Produto!H132:I473,2,0)</f>
        <v>Bubble Waffle</v>
      </c>
      <c r="D109" s="70" t="s">
        <v>127</v>
      </c>
      <c r="E109" s="71">
        <v>3</v>
      </c>
      <c r="F109" s="71">
        <v>4</v>
      </c>
      <c r="G109" s="72">
        <f>VLOOKUP(Tabela25[[#This Row],[CÓDIGO]],'[1]Estrutura Loja'!$B$3:$M$2941,5,0)</f>
        <v>2.8476820494823656</v>
      </c>
      <c r="H109" s="72">
        <f t="shared" si="1"/>
        <v>0.15231795051763442</v>
      </c>
      <c r="I109" s="71">
        <v>3</v>
      </c>
      <c r="J109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0.21411479674796741</v>
      </c>
      <c r="K109" s="77">
        <f>Tabela25[[#This Row],[PREÇO PRATICADO]]*Tabela25[[#This Row],[LUCRO REAL %]]</f>
        <v>0.64234439024390222</v>
      </c>
      <c r="L109" s="75"/>
      <c r="M109" s="54">
        <f>IF(Tabela25[[#This Row],[QUANT. VENDA]]=0,0,((Tabela25[[#This Row],[CUSTO]]*Tabela25[[#This Row],[QUANT. VENDA]])/(Tabela25[[#This Row],[QUANT. VENDA]]*Tabela25[[#This Row],[PREÇO PRATICADO]])))</f>
        <v>0</v>
      </c>
      <c r="N109" s="39">
        <f>VLOOKUP(Tabela25[[#This Row],[CÓDIGO]],'[1]Estrutura Loja'!$B$3:$E$1825,4,0)</f>
        <v>0.79165560975609772</v>
      </c>
      <c r="O109" s="72">
        <f>Tabela25[[#This Row],[QUANT. VENDA]]*Tabela25[[#This Row],[PREÇO PRATICADO]]</f>
        <v>0</v>
      </c>
      <c r="P109" s="72">
        <f>Tabela25[[#This Row],[QUANT. VENDA]]*Tabela25[[#This Row],[CUSTO]]</f>
        <v>0</v>
      </c>
      <c r="Q109" s="55">
        <f>Tabela25[[#This Row],[CUSTO]]/Tabela25[[#This Row],[PREÇO PRATICADO]]</f>
        <v>0.26388520325203257</v>
      </c>
    </row>
    <row r="110" spans="1:17" ht="15.75" customHeight="1" x14ac:dyDescent="0.3">
      <c r="A110" s="68">
        <v>120000013</v>
      </c>
      <c r="B110" s="69">
        <v>1022</v>
      </c>
      <c r="C110" s="28" t="str">
        <f>VLOOKUP(Tabela25[[#This Row],[GRUPO]],[1]Produto!H133:I474,2,0)</f>
        <v>Bubble Waffle</v>
      </c>
      <c r="D110" t="s">
        <v>128</v>
      </c>
      <c r="E110" s="71">
        <v>3.5</v>
      </c>
      <c r="F110" s="71">
        <v>4</v>
      </c>
      <c r="G110" s="72">
        <f>VLOOKUP(Tabela25[[#This Row],[CÓDIGO]],'[1]Estrutura Loja'!$B$3:$M$2941,5,0)</f>
        <v>3.5134672749605191</v>
      </c>
      <c r="H110" s="72">
        <f t="shared" si="1"/>
        <v>-1.3467274960519138E-2</v>
      </c>
      <c r="I110" s="71">
        <v>3.5</v>
      </c>
      <c r="J110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0.19893031358885019</v>
      </c>
      <c r="K110" s="77">
        <f>Tabela25[[#This Row],[PREÇO PRATICADO]]*Tabela25[[#This Row],[LUCRO REAL %]]</f>
        <v>0.69625609756097562</v>
      </c>
      <c r="L110" s="75"/>
      <c r="M110" s="54">
        <f>IF(Tabela25[[#This Row],[QUANT. VENDA]]=0,0,((Tabela25[[#This Row],[CUSTO]]*Tabela25[[#This Row],[QUANT. VENDA]])/(Tabela25[[#This Row],[QUANT. VENDA]]*Tabela25[[#This Row],[PREÇO PRATICADO]])))</f>
        <v>0</v>
      </c>
      <c r="N110" s="39">
        <f>VLOOKUP(Tabela25[[#This Row],[CÓDIGO]],'[1]Estrutura Loja'!$B$3:$E$1825,4,0)</f>
        <v>0.97674390243902443</v>
      </c>
      <c r="O110" s="72">
        <f>Tabela25[[#This Row],[QUANT. VENDA]]*Tabela25[[#This Row],[PREÇO PRATICADO]]</f>
        <v>0</v>
      </c>
      <c r="P110" s="72">
        <f>Tabela25[[#This Row],[QUANT. VENDA]]*Tabela25[[#This Row],[CUSTO]]</f>
        <v>0</v>
      </c>
      <c r="Q110" s="55">
        <f>Tabela25[[#This Row],[CUSTO]]/Tabela25[[#This Row],[PREÇO PRATICADO]]</f>
        <v>0.27906968641114982</v>
      </c>
    </row>
    <row r="111" spans="1:17" ht="15.75" customHeight="1" x14ac:dyDescent="0.3">
      <c r="A111" s="68">
        <v>120000014</v>
      </c>
      <c r="B111" s="69">
        <v>1022</v>
      </c>
      <c r="C111" s="28" t="str">
        <f>VLOOKUP(Tabela25[[#This Row],[GRUPO]],[1]Produto!H134:I474,2,0)</f>
        <v>Bubble Waffle</v>
      </c>
      <c r="D111" s="70" t="s">
        <v>129</v>
      </c>
      <c r="E111" s="71">
        <v>7.5</v>
      </c>
      <c r="F111" s="71">
        <v>8.5</v>
      </c>
      <c r="G111" s="72">
        <f>VLOOKUP(Tabela25[[#This Row],[CÓDIGO]],'[1]Estrutura Loja'!$B$3:$M$2941,5,0)</f>
        <v>7.5092805755395657</v>
      </c>
      <c r="H111" s="72">
        <f t="shared" si="1"/>
        <v>-9.2805755395657386E-3</v>
      </c>
      <c r="I111" s="71">
        <v>7.5</v>
      </c>
      <c r="J111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0.19965600000000006</v>
      </c>
      <c r="K111" s="77">
        <f>Tabela25[[#This Row],[PREÇO PRATICADO]]*Tabela25[[#This Row],[LUCRO REAL %]]</f>
        <v>1.4974200000000004</v>
      </c>
      <c r="L111" s="75"/>
      <c r="M111" s="54">
        <f>IF(Tabela25[[#This Row],[QUANT. VENDA]]=0,0,((Tabela25[[#This Row],[CUSTO]]*Tabela25[[#This Row],[QUANT. VENDA]])/(Tabela25[[#This Row],[QUANT. VENDA]]*Tabela25[[#This Row],[PREÇO PRATICADO]])))</f>
        <v>0</v>
      </c>
      <c r="N111" s="39">
        <f>VLOOKUP(Tabela25[[#This Row],[CÓDIGO]],'[1]Estrutura Loja'!$B$3:$E$1825,4,0)</f>
        <v>2.0875799999999995</v>
      </c>
      <c r="O111" s="72">
        <f>Tabela25[[#This Row],[QUANT. VENDA]]*Tabela25[[#This Row],[PREÇO PRATICADO]]</f>
        <v>0</v>
      </c>
      <c r="P111" s="72">
        <f>Tabela25[[#This Row],[QUANT. VENDA]]*Tabela25[[#This Row],[CUSTO]]</f>
        <v>0</v>
      </c>
      <c r="Q111" s="55">
        <f>Tabela25[[#This Row],[CUSTO]]/Tabela25[[#This Row],[PREÇO PRATICADO]]</f>
        <v>0.27834399999999992</v>
      </c>
    </row>
    <row r="112" spans="1:17" ht="15.75" customHeight="1" x14ac:dyDescent="0.3">
      <c r="A112" s="68">
        <v>120000015</v>
      </c>
      <c r="B112" s="69">
        <v>1022</v>
      </c>
      <c r="C112" s="28" t="str">
        <f>VLOOKUP(Tabela25[[#This Row],[GRUPO]],[1]Produto!H135:I474,2,0)</f>
        <v>Bubble Waffle</v>
      </c>
      <c r="D112" s="70" t="s">
        <v>130</v>
      </c>
      <c r="E112" s="71">
        <v>2</v>
      </c>
      <c r="F112" s="71">
        <v>3</v>
      </c>
      <c r="G112" s="72">
        <f>VLOOKUP(Tabela25[[#This Row],[CÓDIGO]],'[1]Estrutura Loja'!$B$3:$M$2941,5,0)</f>
        <v>1.717390839803405</v>
      </c>
      <c r="H112" s="72">
        <f t="shared" si="1"/>
        <v>0.28260916019659499</v>
      </c>
      <c r="I112" s="71">
        <v>2</v>
      </c>
      <c r="J112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0.23928267326732666</v>
      </c>
      <c r="K112" s="77">
        <f>Tabela25[[#This Row],[PREÇO PRATICADO]]*Tabela25[[#This Row],[LUCRO REAL %]]</f>
        <v>0.47856534653465332</v>
      </c>
      <c r="L112" s="75"/>
      <c r="M112" s="54">
        <f>IF(Tabela25[[#This Row],[QUANT. VENDA]]=0,0,((Tabela25[[#This Row],[CUSTO]]*Tabela25[[#This Row],[QUANT. VENDA]])/(Tabela25[[#This Row],[QUANT. VENDA]]*Tabela25[[#This Row],[PREÇO PRATICADO]])))</f>
        <v>0</v>
      </c>
      <c r="N112" s="39">
        <f>VLOOKUP(Tabela25[[#This Row],[CÓDIGO]],'[1]Estrutura Loja'!$B$3:$E$1825,4,0)</f>
        <v>0.47743465346534664</v>
      </c>
      <c r="O112" s="72">
        <f>Tabela25[[#This Row],[QUANT. VENDA]]*Tabela25[[#This Row],[PREÇO PRATICADO]]</f>
        <v>0</v>
      </c>
      <c r="P112" s="72">
        <f>Tabela25[[#This Row],[QUANT. VENDA]]*Tabela25[[#This Row],[CUSTO]]</f>
        <v>0</v>
      </c>
      <c r="Q112" s="55">
        <f>Tabela25[[#This Row],[CUSTO]]/Tabela25[[#This Row],[PREÇO PRATICADO]]</f>
        <v>0.23871732673267332</v>
      </c>
    </row>
    <row r="113" spans="1:17" ht="15.75" customHeight="1" x14ac:dyDescent="0.3">
      <c r="A113" s="68">
        <v>120000016</v>
      </c>
      <c r="B113" s="69">
        <v>1022</v>
      </c>
      <c r="C113" s="28" t="str">
        <f>VLOOKUP(Tabela25[[#This Row],[GRUPO]],[1]Produto!H136:I475,2,0)</f>
        <v>Bubble Waffle</v>
      </c>
      <c r="D113" s="70" t="s">
        <v>131</v>
      </c>
      <c r="E113" s="71">
        <v>8.5</v>
      </c>
      <c r="F113" s="71">
        <v>9.5</v>
      </c>
      <c r="G113" s="72">
        <f>VLOOKUP(Tabela25[[#This Row],[CÓDIGO]],'[1]Estrutura Loja'!$B$3:$M$2941,5,0)</f>
        <v>9.1255683453237406</v>
      </c>
      <c r="H113" s="72">
        <f t="shared" si="1"/>
        <v>-0.62556834532374062</v>
      </c>
      <c r="I113" s="71">
        <v>9</v>
      </c>
      <c r="J113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0.19612133333333329</v>
      </c>
      <c r="K113" s="77">
        <f>Tabela25[[#This Row],[PREÇO PRATICADO]]*Tabela25[[#This Row],[LUCRO REAL %]]</f>
        <v>1.7650919999999997</v>
      </c>
      <c r="L113" s="75"/>
      <c r="M113" s="54">
        <f>IF(Tabela25[[#This Row],[QUANT. VENDA]]=0,0,((Tabela25[[#This Row],[CUSTO]]*Tabela25[[#This Row],[QUANT. VENDA]])/(Tabela25[[#This Row],[QUANT. VENDA]]*Tabela25[[#This Row],[PREÇO PRATICADO]])))</f>
        <v>0</v>
      </c>
      <c r="N113" s="39">
        <f>VLOOKUP(Tabela25[[#This Row],[CÓDIGO]],'[1]Estrutura Loja'!$B$3:$E$1825,4,0)</f>
        <v>2.5369079999999999</v>
      </c>
      <c r="O113" s="72">
        <f>Tabela25[[#This Row],[QUANT. VENDA]]*Tabela25[[#This Row],[PREÇO PRATICADO]]</f>
        <v>0</v>
      </c>
      <c r="P113" s="72">
        <f>Tabela25[[#This Row],[QUANT. VENDA]]*Tabela25[[#This Row],[CUSTO]]</f>
        <v>0</v>
      </c>
      <c r="Q113" s="55">
        <f>Tabela25[[#This Row],[CUSTO]]/Tabela25[[#This Row],[PREÇO PRATICADO]]</f>
        <v>0.28187866666666667</v>
      </c>
    </row>
    <row r="114" spans="1:17" ht="15.75" customHeight="1" x14ac:dyDescent="0.3">
      <c r="A114" s="68">
        <v>120000017</v>
      </c>
      <c r="B114" s="69">
        <v>1022</v>
      </c>
      <c r="C114" s="28" t="str">
        <f>VLOOKUP(Tabela25[[#This Row],[GRUPO]],[1]Produto!H137:I476,2,0)</f>
        <v>Bubble Waffle</v>
      </c>
      <c r="D114" s="70" t="s">
        <v>132</v>
      </c>
      <c r="E114" s="71">
        <v>1</v>
      </c>
      <c r="F114" s="71">
        <v>2</v>
      </c>
      <c r="G114" s="72">
        <f>VLOOKUP(Tabela25[[#This Row],[CÓDIGO]],'[1]Estrutura Loja'!$B$3:$M$2941,5,0)</f>
        <v>0.4075359712230216</v>
      </c>
      <c r="H114" s="72">
        <f t="shared" si="1"/>
        <v>0.59246402877697846</v>
      </c>
      <c r="I114" s="71">
        <v>1</v>
      </c>
      <c r="J114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0.36470499999999995</v>
      </c>
      <c r="K114" s="77">
        <f>Tabela25[[#This Row],[PREÇO PRATICADO]]*Tabela25[[#This Row],[LUCRO REAL %]]</f>
        <v>0.36470499999999995</v>
      </c>
      <c r="L114" s="75"/>
      <c r="M114" s="54">
        <f>IF(Tabela25[[#This Row],[QUANT. VENDA]]=0,0,((Tabela25[[#This Row],[CUSTO]]*Tabela25[[#This Row],[QUANT. VENDA]])/(Tabela25[[#This Row],[QUANT. VENDA]]*Tabela25[[#This Row],[PREÇO PRATICADO]])))</f>
        <v>0</v>
      </c>
      <c r="N114" s="39">
        <f>VLOOKUP(Tabela25[[#This Row],[CÓDIGO]],'[1]Estrutura Loja'!$B$3:$E$1825,4,0)</f>
        <v>0.11329500000000001</v>
      </c>
      <c r="O114" s="72">
        <f>Tabela25[[#This Row],[QUANT. VENDA]]*Tabela25[[#This Row],[PREÇO PRATICADO]]</f>
        <v>0</v>
      </c>
      <c r="P114" s="72">
        <f>Tabela25[[#This Row],[QUANT. VENDA]]*Tabela25[[#This Row],[CUSTO]]</f>
        <v>0</v>
      </c>
      <c r="Q114" s="55">
        <f>Tabela25[[#This Row],[CUSTO]]/Tabela25[[#This Row],[PREÇO PRATICADO]]</f>
        <v>0.11329500000000001</v>
      </c>
    </row>
    <row r="115" spans="1:17" ht="15.75" customHeight="1" x14ac:dyDescent="0.3">
      <c r="A115" s="68">
        <v>120000018</v>
      </c>
      <c r="B115" s="69">
        <v>1022</v>
      </c>
      <c r="C115" s="28" t="str">
        <f>VLOOKUP(Tabela25[[#This Row],[GRUPO]],[1]Produto!H138:I477,2,0)</f>
        <v>Bubble Waffle</v>
      </c>
      <c r="D115" s="70" t="s">
        <v>133</v>
      </c>
      <c r="E115" s="71">
        <v>6.5</v>
      </c>
      <c r="F115" s="71">
        <v>7</v>
      </c>
      <c r="G115" s="72">
        <f>VLOOKUP(Tabela25[[#This Row],[CÓDIGO]],'[1]Estrutura Loja'!$B$3:$M$2941,5,0)</f>
        <v>6.152237095865476</v>
      </c>
      <c r="H115" s="72">
        <f t="shared" si="1"/>
        <v>0.34776290413452404</v>
      </c>
      <c r="I115" s="71">
        <v>6.5</v>
      </c>
      <c r="J115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0.21487355189990728</v>
      </c>
      <c r="K115" s="77">
        <f>Tabela25[[#This Row],[PREÇO PRATICADO]]*Tabela25[[#This Row],[LUCRO REAL %]]</f>
        <v>1.3966780873493974</v>
      </c>
      <c r="L115" s="75"/>
      <c r="M115" s="54">
        <f>IF(Tabela25[[#This Row],[QUANT. VENDA]]=0,0,((Tabela25[[#This Row],[CUSTO]]*Tabela25[[#This Row],[QUANT. VENDA]])/(Tabela25[[#This Row],[QUANT. VENDA]]*Tabela25[[#This Row],[PREÇO PRATICADO]])))</f>
        <v>0</v>
      </c>
      <c r="N115" s="39">
        <f>VLOOKUP(Tabela25[[#This Row],[CÓDIGO]],'[1]Estrutura Loja'!$B$3:$E$1825,4,0)</f>
        <v>1.7103219126506024</v>
      </c>
      <c r="O115" s="72">
        <f>Tabela25[[#This Row],[QUANT. VENDA]]*Tabela25[[#This Row],[PREÇO PRATICADO]]</f>
        <v>0</v>
      </c>
      <c r="P115" s="72">
        <f>Tabela25[[#This Row],[QUANT. VENDA]]*Tabela25[[#This Row],[CUSTO]]</f>
        <v>0</v>
      </c>
      <c r="Q115" s="55">
        <f>Tabela25[[#This Row],[CUSTO]]/Tabela25[[#This Row],[PREÇO PRATICADO]]</f>
        <v>0.26312644810009267</v>
      </c>
    </row>
    <row r="116" spans="1:17" ht="15.75" customHeight="1" x14ac:dyDescent="0.3">
      <c r="A116" s="68">
        <v>120000019</v>
      </c>
      <c r="B116" s="69">
        <v>1022</v>
      </c>
      <c r="C116" s="28" t="str">
        <f>VLOOKUP(Tabela25[[#This Row],[GRUPO]],[1]Produto!H139:I478,2,0)</f>
        <v>Bubble Waffle</v>
      </c>
      <c r="D116" s="70" t="s">
        <v>134</v>
      </c>
      <c r="E116" s="71">
        <v>12</v>
      </c>
      <c r="F116" s="71">
        <v>13</v>
      </c>
      <c r="G116" s="72">
        <f>VLOOKUP(Tabela25[[#This Row],[CÓDIGO]],'[1]Estrutura Loja'!$B$3:$M$2941,5,0)</f>
        <v>12.592703181205035</v>
      </c>
      <c r="H116" s="72">
        <f t="shared" si="1"/>
        <v>-0.59270318120503518</v>
      </c>
      <c r="I116" s="71">
        <v>12</v>
      </c>
      <c r="J116" s="76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0.18626904296874999</v>
      </c>
      <c r="K116" s="77">
        <f>Tabela25[[#This Row],[PREÇO PRATICADO]]*Tabela25[[#This Row],[LUCRO REAL %]]</f>
        <v>2.2352285156249998</v>
      </c>
      <c r="L116" s="75"/>
      <c r="M116" s="54">
        <f>IF(Tabela25[[#This Row],[QUANT. VENDA]]=0,0,((Tabela25[[#This Row],[CUSTO]]*Tabela25[[#This Row],[QUANT. VENDA]])/(Tabela25[[#This Row],[QUANT. VENDA]]*Tabela25[[#This Row],[PREÇO PRATICADO]])))</f>
        <v>0</v>
      </c>
      <c r="N116" s="39">
        <f>VLOOKUP(Tabela25[[#This Row],[CÓDIGO]],'[1]Estrutura Loja'!$B$3:$E$1825,4,0)</f>
        <v>3.500771484375</v>
      </c>
      <c r="O116" s="72">
        <f>Tabela25[[#This Row],[QUANT. VENDA]]*Tabela25[[#This Row],[PREÇO PRATICADO]]</f>
        <v>0</v>
      </c>
      <c r="P116" s="72">
        <f>Tabela25[[#This Row],[QUANT. VENDA]]*Tabela25[[#This Row],[CUSTO]]</f>
        <v>0</v>
      </c>
      <c r="Q116" s="55">
        <f>Tabela25[[#This Row],[CUSTO]]/Tabela25[[#This Row],[PREÇO PRATICADO]]</f>
        <v>0.29173095703125002</v>
      </c>
    </row>
    <row r="117" spans="1:17" ht="15.75" customHeight="1" x14ac:dyDescent="0.3">
      <c r="A117" s="78">
        <v>103400001</v>
      </c>
      <c r="B117" s="79">
        <v>1034</v>
      </c>
      <c r="C117" s="28" t="s">
        <v>135</v>
      </c>
      <c r="D117" t="s">
        <v>136</v>
      </c>
      <c r="E117" s="80">
        <v>21</v>
      </c>
      <c r="F117" s="80">
        <v>24</v>
      </c>
      <c r="G117" s="81">
        <f>VLOOKUP(Tabela25[[#This Row],[CÓDIGO]],'[1]Estrutura Loja'!$B$3:$M$2941,5,0)</f>
        <v>21.733528219424461</v>
      </c>
      <c r="H117" s="81">
        <f t="shared" si="1"/>
        <v>-0.73352821942446056</v>
      </c>
      <c r="I117" s="80">
        <v>21</v>
      </c>
      <c r="J117" s="8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0.19028948357142855</v>
      </c>
      <c r="K117" s="83">
        <f>Tabela25[[#This Row],[PREÇO PRATICADO]]*Tabela25[[#This Row],[LUCRO REAL %]]</f>
        <v>3.9960791549999994</v>
      </c>
      <c r="L117" s="84"/>
      <c r="M117" s="46">
        <f>IF(Tabela25[[#This Row],[QUANT. VENDA]]=0,0,((Tabela25[[#This Row],[CUSTO]]*Tabela25[[#This Row],[QUANT. VENDA]])/(Tabela25[[#This Row],[QUANT. VENDA]]*Tabela25[[#This Row],[PREÇO PRATICADO]])))</f>
        <v>0</v>
      </c>
      <c r="N117" s="39">
        <f>VLOOKUP(Tabela25[[#This Row],[CÓDIGO]],'[1]Estrutura Loja'!$B$3:$E$1883,4,0)</f>
        <v>6.0419208450000008</v>
      </c>
      <c r="O117" s="81">
        <f>Tabela25[[#This Row],[QUANT. VENDA]]*Tabela25[[#This Row],[PREÇO PRATICADO]]</f>
        <v>0</v>
      </c>
      <c r="P117" s="81">
        <f>Tabela25[[#This Row],[QUANT. VENDA]]*Tabela25[[#This Row],[CUSTO]]</f>
        <v>0</v>
      </c>
      <c r="Q117" s="55">
        <f>Tabela25[[#This Row],[CUSTO]]/Tabela25[[#This Row],[PREÇO PRATICADO]]</f>
        <v>0.28771051642857148</v>
      </c>
    </row>
    <row r="118" spans="1:17" ht="15.75" customHeight="1" x14ac:dyDescent="0.3">
      <c r="A118" s="78">
        <v>103400002</v>
      </c>
      <c r="B118" s="79">
        <v>1034</v>
      </c>
      <c r="C118" s="28" t="s">
        <v>135</v>
      </c>
      <c r="D118" t="s">
        <v>137</v>
      </c>
      <c r="E118" s="80">
        <v>31</v>
      </c>
      <c r="F118" s="80">
        <v>34</v>
      </c>
      <c r="G118" s="81">
        <f>VLOOKUP(Tabela25[[#This Row],[CÓDIGO]],'[1]Estrutura Loja'!$B$3:$M$2941,5,0)</f>
        <v>31.121029496402876</v>
      </c>
      <c r="H118" s="81">
        <f t="shared" si="1"/>
        <v>-0.12102949640287619</v>
      </c>
      <c r="I118" s="80">
        <v>31</v>
      </c>
      <c r="J118" s="8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0.19891463870967735</v>
      </c>
      <c r="K118" s="83">
        <f>Tabela25[[#This Row],[PREÇO PRATICADO]]*Tabela25[[#This Row],[LUCRO REAL %]]</f>
        <v>6.1663537999999978</v>
      </c>
      <c r="L118" s="84"/>
      <c r="M118" s="46">
        <f>IF(Tabela25[[#This Row],[QUANT. VENDA]]=0,0,((Tabela25[[#This Row],[CUSTO]]*Tabela25[[#This Row],[QUANT. VENDA]])/(Tabela25[[#This Row],[QUANT. VENDA]]*Tabela25[[#This Row],[PREÇO PRATICADO]])))</f>
        <v>0</v>
      </c>
      <c r="N118" s="39">
        <f>VLOOKUP(Tabela25[[#This Row],[CÓDIGO]],'[1]Estrutura Loja'!$B$3:$E$1883,4,0)</f>
        <v>8.6516462000000001</v>
      </c>
      <c r="O118" s="81">
        <f>Tabela25[[#This Row],[QUANT. VENDA]]*Tabela25[[#This Row],[PREÇO PRATICADO]]</f>
        <v>0</v>
      </c>
      <c r="P118" s="81">
        <f>Tabela25[[#This Row],[QUANT. VENDA]]*Tabela25[[#This Row],[CUSTO]]</f>
        <v>0</v>
      </c>
      <c r="Q118" s="55">
        <f>Tabela25[[#This Row],[CUSTO]]/Tabela25[[#This Row],[PREÇO PRATICADO]]</f>
        <v>0.27908536129032258</v>
      </c>
    </row>
    <row r="119" spans="1:17" ht="15.75" customHeight="1" x14ac:dyDescent="0.3">
      <c r="A119" s="42">
        <v>100200004</v>
      </c>
      <c r="B119" s="28">
        <v>1002</v>
      </c>
      <c r="C119" s="28" t="str">
        <f>VLOOKUP(Tabela25[[#This Row],[GRUPO]],[1]Produto!H9:I358,2,0)</f>
        <v>Cascao</v>
      </c>
      <c r="D119" s="43" t="s">
        <v>138</v>
      </c>
      <c r="E119" s="44">
        <v>7</v>
      </c>
      <c r="F119" s="44">
        <v>9</v>
      </c>
      <c r="G119" s="21">
        <f>VLOOKUP(Tabela25[[#This Row],[CÓDIGO]],'[1]Estrutura Loja'!$B$3:$M$2941,5,0)</f>
        <v>7.3686425293764977</v>
      </c>
      <c r="H119" s="45">
        <f t="shared" si="1"/>
        <v>-0.36864252937649766</v>
      </c>
      <c r="I119" s="44">
        <v>7</v>
      </c>
      <c r="J11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0.18535962526190478</v>
      </c>
      <c r="K119" s="46">
        <f>Tabela25[[#This Row],[PREÇO PRATICADO]]*Tabela25[[#This Row],[LUCRO REAL %]]</f>
        <v>1.2975173768333335</v>
      </c>
      <c r="L119" s="24"/>
      <c r="M119" s="54">
        <f>IF(Tabela25[[#This Row],[QUANT. VENDA]]=0,0,((Tabela25[[#This Row],[CUSTO]]*Tabela25[[#This Row],[QUANT. VENDA]])/(Tabela25[[#This Row],[QUANT. VENDA]]*Tabela25[[#This Row],[PREÇO PRATICADO]])))</f>
        <v>0</v>
      </c>
      <c r="N119" s="39">
        <f>VLOOKUP(Tabela25[[#This Row],[CÓDIGO]],'[1]Estrutura Loja'!$B$3:$E$1825,4,0)</f>
        <v>2.0484826231666666</v>
      </c>
      <c r="O119" s="48">
        <f>Tabela25[[#This Row],[QUANT. VENDA]]*Tabela25[[#This Row],[PREÇO PRATICADO]]</f>
        <v>0</v>
      </c>
      <c r="P119" s="48">
        <f>Tabela25[[#This Row],[QUANT. VENDA]]*Tabela25[[#This Row],[CUSTO]]</f>
        <v>0</v>
      </c>
      <c r="Q119" s="49">
        <f>Tabela25[[#This Row],[CUSTO]]/Tabela25[[#This Row],[PREÇO PRATICADO]]</f>
        <v>0.29264037473809523</v>
      </c>
    </row>
    <row r="120" spans="1:17" ht="15.75" customHeight="1" x14ac:dyDescent="0.3">
      <c r="A120" s="42">
        <v>100200043</v>
      </c>
      <c r="B120" s="28">
        <v>1002</v>
      </c>
      <c r="C120" s="28" t="str">
        <f>VLOOKUP(Tabela25[[#This Row],[GRUPO]],[1]Produto!H10:I359,2,0)</f>
        <v>Cascao</v>
      </c>
      <c r="D120" s="43" t="s">
        <v>139</v>
      </c>
      <c r="E120" s="44">
        <v>7.5</v>
      </c>
      <c r="F120" s="44">
        <v>8</v>
      </c>
      <c r="G120" s="21">
        <f>VLOOKUP(Tabela25[[#This Row],[CÓDIGO]],'[1]Estrutura Loja'!$B$3:$M$2941,5,0)</f>
        <v>6.8015675591744431</v>
      </c>
      <c r="H120" s="45">
        <f t="shared" si="1"/>
        <v>0.69843244082555689</v>
      </c>
      <c r="I120" s="44">
        <v>7.5</v>
      </c>
      <c r="J12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0.2258885624732673</v>
      </c>
      <c r="K120" s="46">
        <f>Tabela25[[#This Row],[PREÇO PRATICADO]]*Tabela25[[#This Row],[LUCRO REAL %]]</f>
        <v>1.6941642185495047</v>
      </c>
      <c r="L120" s="24"/>
      <c r="M120" s="54">
        <f>IF(Tabela25[[#This Row],[QUANT. VENDA]]=0,0,((Tabela25[[#This Row],[CUSTO]]*Tabela25[[#This Row],[QUANT. VENDA]])/(Tabela25[[#This Row],[QUANT. VENDA]]*Tabela25[[#This Row],[PREÇO PRATICADO]])))</f>
        <v>0</v>
      </c>
      <c r="N120" s="48">
        <f>VLOOKUP(Tabela25[[#This Row],[CÓDIGO]],'[1]Estrutura Loja'!$B$3:$E$1825,4,0)</f>
        <v>1.8908357814504952</v>
      </c>
      <c r="O120" s="48">
        <f>Tabela25[[#This Row],[QUANT. VENDA]]*Tabela25[[#This Row],[PREÇO PRATICADO]]</f>
        <v>0</v>
      </c>
      <c r="P120" s="48">
        <f>Tabela25[[#This Row],[QUANT. VENDA]]*Tabela25[[#This Row],[CUSTO]]</f>
        <v>0</v>
      </c>
      <c r="Q120" s="49">
        <f>Tabela25[[#This Row],[CUSTO]]/Tabela25[[#This Row],[PREÇO PRATICADO]]</f>
        <v>0.25211143752673271</v>
      </c>
    </row>
    <row r="121" spans="1:17" ht="15.75" customHeight="1" x14ac:dyDescent="0.3">
      <c r="A121" s="42">
        <v>100200044</v>
      </c>
      <c r="B121" s="28">
        <v>1002</v>
      </c>
      <c r="C121" s="28" t="str">
        <f>VLOOKUP(Tabela25[[#This Row],[GRUPO]],[1]Produto!H11:I360,2,0)</f>
        <v>Cascao</v>
      </c>
      <c r="D121" s="43" t="s">
        <v>140</v>
      </c>
      <c r="E121" s="44">
        <v>7.5</v>
      </c>
      <c r="F121" s="44">
        <v>8</v>
      </c>
      <c r="G121" s="21">
        <f>VLOOKUP(Tabela25[[#This Row],[CÓDIGO]],'[1]Estrutura Loja'!$B$3:$M$2941,5,0)</f>
        <v>6.8062746845632391</v>
      </c>
      <c r="H121" s="45">
        <f t="shared" si="1"/>
        <v>0.69372531543676086</v>
      </c>
      <c r="I121" s="44">
        <v>7.5</v>
      </c>
      <c r="J12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0.22571408502552257</v>
      </c>
      <c r="K121" s="46">
        <f>Tabela25[[#This Row],[PREÇO PRATICADO]]*Tabela25[[#This Row],[LUCRO REAL %]]</f>
        <v>1.6928556376914192</v>
      </c>
      <c r="L121" s="24"/>
      <c r="M121" s="54">
        <f>IF(Tabela25[[#This Row],[QUANT. VENDA]]=0,0,((Tabela25[[#This Row],[CUSTO]]*Tabela25[[#This Row],[QUANT. VENDA]])/(Tabela25[[#This Row],[QUANT. VENDA]]*Tabela25[[#This Row],[PREÇO PRATICADO]])))</f>
        <v>0</v>
      </c>
      <c r="N121" s="48">
        <f>VLOOKUP(Tabela25[[#This Row],[CÓDIGO]],'[1]Estrutura Loja'!$B$3:$E$1825,4,0)</f>
        <v>1.8921443623085807</v>
      </c>
      <c r="O121" s="48">
        <f>Tabela25[[#This Row],[QUANT. VENDA]]*Tabela25[[#This Row],[PREÇO PRATICADO]]</f>
        <v>0</v>
      </c>
      <c r="P121" s="48">
        <f>Tabela25[[#This Row],[QUANT. VENDA]]*Tabela25[[#This Row],[CUSTO]]</f>
        <v>0</v>
      </c>
      <c r="Q121" s="49">
        <f>Tabela25[[#This Row],[CUSTO]]/Tabela25[[#This Row],[PREÇO PRATICADO]]</f>
        <v>0.25228591497447744</v>
      </c>
    </row>
    <row r="122" spans="1:17" ht="15.75" customHeight="1" x14ac:dyDescent="0.3">
      <c r="A122" s="42">
        <v>100200045</v>
      </c>
      <c r="B122" s="28">
        <v>1002</v>
      </c>
      <c r="C122" s="28" t="str">
        <f>VLOOKUP(Tabela25[[#This Row],[GRUPO]],[1]Produto!H12:I361,2,0)</f>
        <v>Cascao</v>
      </c>
      <c r="D122" s="43" t="s">
        <v>141</v>
      </c>
      <c r="E122" s="44">
        <v>7.5</v>
      </c>
      <c r="F122" s="44">
        <v>8</v>
      </c>
      <c r="G122" s="21">
        <f>VLOOKUP(Tabela25[[#This Row],[CÓDIGO]],'[1]Estrutura Loja'!$B$3:$M$2941,5,0)</f>
        <v>6.8666184887278288</v>
      </c>
      <c r="H122" s="45">
        <f t="shared" si="1"/>
        <v>0.63338151127217124</v>
      </c>
      <c r="I122" s="44">
        <v>7.5</v>
      </c>
      <c r="J12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0.22347734135115513</v>
      </c>
      <c r="K122" s="46">
        <f>Tabela25[[#This Row],[PREÇO PRATICADO]]*Tabela25[[#This Row],[LUCRO REAL %]]</f>
        <v>1.6760800601336634</v>
      </c>
      <c r="L122" s="24"/>
      <c r="M122" s="54">
        <f>IF(Tabela25[[#This Row],[QUANT. VENDA]]=0,0,((Tabela25[[#This Row],[CUSTO]]*Tabela25[[#This Row],[QUANT. VENDA]])/(Tabela25[[#This Row],[QUANT. VENDA]]*Tabela25[[#This Row],[PREÇO PRATICADO]])))</f>
        <v>0</v>
      </c>
      <c r="N122" s="48">
        <f>VLOOKUP(Tabela25[[#This Row],[CÓDIGO]],'[1]Estrutura Loja'!$B$3:$E$1825,4,0)</f>
        <v>1.9089199398663366</v>
      </c>
      <c r="O122" s="48">
        <f>Tabela25[[#This Row],[QUANT. VENDA]]*Tabela25[[#This Row],[PREÇO PRATICADO]]</f>
        <v>0</v>
      </c>
      <c r="P122" s="48">
        <f>Tabela25[[#This Row],[QUANT. VENDA]]*Tabela25[[#This Row],[CUSTO]]</f>
        <v>0</v>
      </c>
      <c r="Q122" s="49">
        <f>Tabela25[[#This Row],[CUSTO]]/Tabela25[[#This Row],[PREÇO PRATICADO]]</f>
        <v>0.25452265864884488</v>
      </c>
    </row>
    <row r="123" spans="1:17" ht="16.5" customHeight="1" x14ac:dyDescent="0.3">
      <c r="A123" s="42">
        <v>100200007</v>
      </c>
      <c r="B123" s="28">
        <v>1002</v>
      </c>
      <c r="C123" s="28" t="str">
        <f>VLOOKUP(Tabela25[[#This Row],[GRUPO]],[1]Produto!H13:I362,2,0)</f>
        <v>Cascao</v>
      </c>
      <c r="D123" s="43" t="s">
        <v>142</v>
      </c>
      <c r="E123" s="44">
        <v>8</v>
      </c>
      <c r="F123" s="44">
        <v>9</v>
      </c>
      <c r="G123" s="21">
        <f>VLOOKUP(Tabela25[[#This Row],[CÓDIGO]],'[1]Estrutura Loja'!$B$3:$M$2941,5,0)</f>
        <v>8.1330387821960244</v>
      </c>
      <c r="H123" s="45">
        <f t="shared" si="1"/>
        <v>-0.13303878219602439</v>
      </c>
      <c r="I123" s="44">
        <v>8</v>
      </c>
      <c r="J12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0.19537690231868809</v>
      </c>
      <c r="K123" s="46">
        <f>Tabela25[[#This Row],[PREÇO PRATICADO]]*Tabela25[[#This Row],[LUCRO REAL %]]</f>
        <v>1.5630152185495048</v>
      </c>
      <c r="L123" s="24"/>
      <c r="M123" s="54">
        <f>IF(Tabela25[[#This Row],[QUANT. VENDA]]=0,0,((Tabela25[[#This Row],[CUSTO]]*Tabela25[[#This Row],[QUANT. VENDA]])/(Tabela25[[#This Row],[QUANT. VENDA]]*Tabela25[[#This Row],[PREÇO PRATICADO]])))</f>
        <v>0</v>
      </c>
      <c r="N123" s="48">
        <f>VLOOKUP(Tabela25[[#This Row],[CÓDIGO]],'[1]Estrutura Loja'!$B$3:$E$1825,4,0)</f>
        <v>2.2609847814504951</v>
      </c>
      <c r="O123" s="48">
        <f>Tabela25[[#This Row],[QUANT. VENDA]]*Tabela25[[#This Row],[PREÇO PRATICADO]]</f>
        <v>0</v>
      </c>
      <c r="P123" s="48">
        <f>Tabela25[[#This Row],[QUANT. VENDA]]*Tabela25[[#This Row],[CUSTO]]</f>
        <v>0</v>
      </c>
      <c r="Q123" s="49">
        <f>Tabela25[[#This Row],[CUSTO]]/Tabela25[[#This Row],[PREÇO PRATICADO]]</f>
        <v>0.28262309768131189</v>
      </c>
    </row>
    <row r="124" spans="1:17" s="86" customFormat="1" ht="16.5" customHeight="1" x14ac:dyDescent="0.3">
      <c r="A124" s="85">
        <v>100200008</v>
      </c>
      <c r="B124" s="28">
        <v>1002</v>
      </c>
      <c r="C124" s="28" t="str">
        <f>VLOOKUP(Tabela25[[#This Row],[GRUPO]],[1]Produto!H14:I363,2,0)</f>
        <v>Cascao</v>
      </c>
      <c r="D124" s="43" t="s">
        <v>143</v>
      </c>
      <c r="E124" s="44">
        <v>8</v>
      </c>
      <c r="F124" s="44">
        <v>9</v>
      </c>
      <c r="G124" s="21">
        <f>VLOOKUP(Tabela25[[#This Row],[CÓDIGO]],'[1]Estrutura Loja'!$B$3:$M$2941,5,0)</f>
        <v>8.137745907584824</v>
      </c>
      <c r="H124" s="45">
        <f t="shared" si="1"/>
        <v>-0.13774590758482397</v>
      </c>
      <c r="I124" s="44">
        <v>8</v>
      </c>
      <c r="J12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0.19521332971142735</v>
      </c>
      <c r="K124" s="46">
        <f>Tabela25[[#This Row],[PREÇO PRATICADO]]*Tabela25[[#This Row],[LUCRO REAL %]]</f>
        <v>1.5617066376914188</v>
      </c>
      <c r="L124" s="24"/>
      <c r="M124" s="54">
        <f>IF(Tabela25[[#This Row],[QUANT. VENDA]]=0,0,((Tabela25[[#This Row],[CUSTO]]*Tabela25[[#This Row],[QUANT. VENDA]])/(Tabela25[[#This Row],[QUANT. VENDA]]*Tabela25[[#This Row],[PREÇO PRATICADO]])))</f>
        <v>0</v>
      </c>
      <c r="N124" s="48">
        <f>VLOOKUP(Tabela25[[#This Row],[CÓDIGO]],'[1]Estrutura Loja'!$B$3:$E$1825,4,0)</f>
        <v>2.262293362308581</v>
      </c>
      <c r="O124" s="48">
        <f>Tabela25[[#This Row],[QUANT. VENDA]]*Tabela25[[#This Row],[PREÇO PRATICADO]]</f>
        <v>0</v>
      </c>
      <c r="P124" s="48">
        <f>Tabela25[[#This Row],[QUANT. VENDA]]*Tabela25[[#This Row],[CUSTO]]</f>
        <v>0</v>
      </c>
      <c r="Q124" s="49">
        <f>Tabela25[[#This Row],[CUSTO]]/Tabela25[[#This Row],[PREÇO PRATICADO]]</f>
        <v>0.28278667028857263</v>
      </c>
    </row>
    <row r="125" spans="1:17" s="86" customFormat="1" ht="16.5" customHeight="1" x14ac:dyDescent="0.3">
      <c r="A125" s="85">
        <v>100200009</v>
      </c>
      <c r="B125" s="28">
        <v>1002</v>
      </c>
      <c r="C125" s="28" t="str">
        <f>VLOOKUP(Tabela25[[#This Row],[GRUPO]],[1]Produto!H15:I364,2,0)</f>
        <v>Cascao</v>
      </c>
      <c r="D125" s="43" t="s">
        <v>144</v>
      </c>
      <c r="E125" s="44">
        <v>8</v>
      </c>
      <c r="F125" s="44">
        <v>9</v>
      </c>
      <c r="G125" s="21">
        <f>VLOOKUP(Tabela25[[#This Row],[CÓDIGO]],'[1]Estrutura Loja'!$B$3:$M$2941,5,0)</f>
        <v>8.1980897117494127</v>
      </c>
      <c r="H125" s="45">
        <f t="shared" si="1"/>
        <v>-0.1980897117494127</v>
      </c>
      <c r="I125" s="44">
        <v>8</v>
      </c>
      <c r="J12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0.19311638251670787</v>
      </c>
      <c r="K125" s="46">
        <f>Tabela25[[#This Row],[PREÇO PRATICADO]]*Tabela25[[#This Row],[LUCRO REAL %]]</f>
        <v>1.544931060133663</v>
      </c>
      <c r="L125" s="24"/>
      <c r="M125" s="54">
        <f>IF(Tabela25[[#This Row],[QUANT. VENDA]]=0,0,((Tabela25[[#This Row],[CUSTO]]*Tabela25[[#This Row],[QUANT. VENDA]])/(Tabela25[[#This Row],[QUANT. VENDA]]*Tabela25[[#This Row],[PREÇO PRATICADO]])))</f>
        <v>0</v>
      </c>
      <c r="N125" s="48">
        <f>VLOOKUP(Tabela25[[#This Row],[CÓDIGO]],'[1]Estrutura Loja'!$B$3:$E$1825,4,0)</f>
        <v>2.2790689398663369</v>
      </c>
      <c r="O125" s="48">
        <f>Tabela25[[#This Row],[QUANT. VENDA]]*Tabela25[[#This Row],[PREÇO PRATICADO]]</f>
        <v>0</v>
      </c>
      <c r="P125" s="48">
        <f>Tabela25[[#This Row],[QUANT. VENDA]]*Tabela25[[#This Row],[CUSTO]]</f>
        <v>0</v>
      </c>
      <c r="Q125" s="49">
        <f>Tabela25[[#This Row],[CUSTO]]/Tabela25[[#This Row],[PREÇO PRATICADO]]</f>
        <v>0.28488361748329211</v>
      </c>
    </row>
    <row r="126" spans="1:17" ht="16.5" customHeight="1" x14ac:dyDescent="0.3">
      <c r="A126" s="66">
        <v>100200052</v>
      </c>
      <c r="B126" s="34">
        <v>1002</v>
      </c>
      <c r="C126" s="34" t="str">
        <f>VLOOKUP(Tabela25[[#This Row],[GRUPO]],[1]Produto!H16:I365,2,0)</f>
        <v>Cascao</v>
      </c>
      <c r="D126" s="43" t="s">
        <v>145</v>
      </c>
      <c r="E126" s="36">
        <v>11</v>
      </c>
      <c r="F126" s="36">
        <v>12</v>
      </c>
      <c r="G126" s="21">
        <f>VLOOKUP(Tabela25[[#This Row],[CÓDIGO]],'[1]Estrutura Loja'!$B$3:$M$2941,5,0)</f>
        <v>10.299894965142171</v>
      </c>
      <c r="H126" s="37">
        <f t="shared" si="1"/>
        <v>0.70010503485782927</v>
      </c>
      <c r="I126" s="36">
        <v>11</v>
      </c>
      <c r="J126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0.21769356360822512</v>
      </c>
      <c r="K126" s="46">
        <f>Tabela25[[#This Row],[PREÇO PRATICADO]]*Tabela25[[#This Row],[LUCRO REAL %]]</f>
        <v>2.3946291996904763</v>
      </c>
      <c r="L126" s="24"/>
      <c r="M126" s="54">
        <f>IF(Tabela25[[#This Row],[QUANT. VENDA]]=0,0,((Tabela25[[#This Row],[CUSTO]]*Tabela25[[#This Row],[QUANT. VENDA]])/(Tabela25[[#This Row],[QUANT. VENDA]]*Tabela25[[#This Row],[PREÇO PRATICADO]])))</f>
        <v>0</v>
      </c>
      <c r="N126" s="39">
        <f>VLOOKUP(Tabela25[[#This Row],[CÓDIGO]],'[1]Estrutura Loja'!$B$3:$E$1825,4,0)</f>
        <v>2.8633708003095237</v>
      </c>
      <c r="O126" s="39">
        <f>Tabela25[[#This Row],[QUANT. VENDA]]*Tabela25[[#This Row],[PREÇO PRATICADO]]</f>
        <v>0</v>
      </c>
      <c r="P126" s="39">
        <f>Tabela25[[#This Row],[QUANT. VENDA]]*Tabela25[[#This Row],[CUSTO]]</f>
        <v>0</v>
      </c>
      <c r="Q126" s="55">
        <f>Tabela25[[#This Row],[CUSTO]]/Tabela25[[#This Row],[PREÇO PRATICADO]]</f>
        <v>0.26030643639177486</v>
      </c>
    </row>
    <row r="127" spans="1:17" ht="15.75" customHeight="1" x14ac:dyDescent="0.3">
      <c r="A127" s="42">
        <v>100200056</v>
      </c>
      <c r="B127" s="34">
        <v>1002</v>
      </c>
      <c r="C127" s="34" t="str">
        <f>VLOOKUP(Tabela25[[#This Row],[GRUPO]],[1]Produto!H17:I366,2,0)</f>
        <v>Cascao</v>
      </c>
      <c r="D127" s="43" t="s">
        <v>146</v>
      </c>
      <c r="E127" s="36">
        <v>11</v>
      </c>
      <c r="F127" s="36">
        <v>12</v>
      </c>
      <c r="G127" s="21">
        <f>VLOOKUP(Tabela25[[#This Row],[CÓDIGO]],'[1]Estrutura Loja'!$B$3:$M$2941,5,0)</f>
        <v>10.302235765768996</v>
      </c>
      <c r="H127" s="37">
        <f t="shared" si="1"/>
        <v>0.69776423423100375</v>
      </c>
      <c r="I127" s="36">
        <v>11</v>
      </c>
      <c r="J127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0.21763440519238353</v>
      </c>
      <c r="K127" s="46">
        <f>Tabela25[[#This Row],[PREÇO PRATICADO]]*Tabela25[[#This Row],[LUCRO REAL %]]</f>
        <v>2.3939784571162188</v>
      </c>
      <c r="L127" s="24"/>
      <c r="M127" s="54">
        <f>IF(Tabela25[[#This Row],[QUANT. VENDA]]=0,0,((Tabela25[[#This Row],[CUSTO]]*Tabela25[[#This Row],[QUANT. VENDA]])/(Tabela25[[#This Row],[QUANT. VENDA]]*Tabela25[[#This Row],[PREÇO PRATICADO]])))</f>
        <v>0</v>
      </c>
      <c r="N127" s="39">
        <f>VLOOKUP(Tabela25[[#This Row],[CÓDIGO]],'[1]Estrutura Loja'!$B$3:$E$1825,4,0)</f>
        <v>2.8640215428837812</v>
      </c>
      <c r="O127" s="39">
        <f>Tabela25[[#This Row],[QUANT. VENDA]]*Tabela25[[#This Row],[PREÇO PRATICADO]]</f>
        <v>0</v>
      </c>
      <c r="P127" s="39">
        <f>Tabela25[[#This Row],[QUANT. VENDA]]*Tabela25[[#This Row],[CUSTO]]</f>
        <v>0</v>
      </c>
      <c r="Q127" s="55">
        <f>Tabela25[[#This Row],[CUSTO]]/Tabela25[[#This Row],[PREÇO PRATICADO]]</f>
        <v>0.26036559480761645</v>
      </c>
    </row>
    <row r="128" spans="1:17" ht="15.75" customHeight="1" x14ac:dyDescent="0.3">
      <c r="A128" s="42">
        <v>100200079</v>
      </c>
      <c r="B128" s="34">
        <v>1002</v>
      </c>
      <c r="C128" s="28" t="s">
        <v>147</v>
      </c>
      <c r="D128" s="43" t="s">
        <v>148</v>
      </c>
      <c r="E128" s="36">
        <v>11</v>
      </c>
      <c r="F128" s="36">
        <v>12</v>
      </c>
      <c r="G128" s="21">
        <f>VLOOKUP(Tabela25[[#This Row],[CÓDIGO]],'[1]Estrutura Loja'!$B$3:$M$2941,5,0)</f>
        <v>8.0391652631894477</v>
      </c>
      <c r="H128" s="37">
        <f t="shared" si="1"/>
        <v>2.9608347368105523</v>
      </c>
      <c r="I128" s="36">
        <v>11</v>
      </c>
      <c r="J128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0.2748283688030303</v>
      </c>
      <c r="K128" s="53">
        <f>Tabela25[[#This Row],[PREÇO PRATICADO]]*Tabela25[[#This Row],[LUCRO REAL %]]</f>
        <v>3.0231120568333334</v>
      </c>
      <c r="L128" s="24"/>
      <c r="M128" s="54">
        <f>IF(Tabela25[[#This Row],[QUANT. VENDA]]=0,0,((Tabela25[[#This Row],[CUSTO]]*Tabela25[[#This Row],[QUANT. VENDA]])/(Tabela25[[#This Row],[QUANT. VENDA]]*Tabela25[[#This Row],[PREÇO PRATICADO]])))</f>
        <v>0</v>
      </c>
      <c r="N128" s="39">
        <f>VLOOKUP(Tabela25[[#This Row],[CÓDIGO]],'[1]Estrutura Loja'!$B$3:$E$1825,4,0)</f>
        <v>2.2348879431666666</v>
      </c>
      <c r="O128" s="39">
        <f>Tabela25[[#This Row],[QUANT. VENDA]]*Tabela25[[#This Row],[PREÇO PRATICADO]]</f>
        <v>0</v>
      </c>
      <c r="P128" s="39">
        <f>Tabela25[[#This Row],[QUANT. VENDA]]*Tabela25[[#This Row],[CUSTO]]</f>
        <v>0</v>
      </c>
      <c r="Q128" s="55">
        <f>Tabela25[[#This Row],[CUSTO]]/Tabela25[[#This Row],[PREÇO PRATICADO]]</f>
        <v>0.20317163119696968</v>
      </c>
    </row>
    <row r="129" spans="1:22" ht="15.75" customHeight="1" x14ac:dyDescent="0.3">
      <c r="A129" s="42">
        <v>100200085</v>
      </c>
      <c r="B129" s="34">
        <v>1002</v>
      </c>
      <c r="C129" s="28" t="s">
        <v>147</v>
      </c>
      <c r="D129" s="43" t="s">
        <v>149</v>
      </c>
      <c r="E129" s="36">
        <v>11</v>
      </c>
      <c r="F129" s="36">
        <v>12</v>
      </c>
      <c r="G129" s="21">
        <f>VLOOKUP(Tabela25[[#This Row],[CÓDIGO]],'[1]Estrutura Loja'!$B$3:$M$2941,5,0)</f>
        <v>8.495190443045562</v>
      </c>
      <c r="H129" s="37">
        <f t="shared" si="1"/>
        <v>2.504809556954438</v>
      </c>
      <c r="I129" s="36">
        <v>11</v>
      </c>
      <c r="J129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0.26330336880303035</v>
      </c>
      <c r="K129" s="53">
        <f>Tabela25[[#This Row],[PREÇO PRATICADO]]*Tabela25[[#This Row],[LUCRO REAL %]]</f>
        <v>2.896337056833334</v>
      </c>
      <c r="L129" s="24"/>
      <c r="M129" s="54">
        <f>IF(Tabela25[[#This Row],[QUANT. VENDA]]=0,0,((Tabela25[[#This Row],[CUSTO]]*Tabela25[[#This Row],[QUANT. VENDA]])/(Tabela25[[#This Row],[QUANT. VENDA]]*Tabela25[[#This Row],[PREÇO PRATICADO]])))</f>
        <v>0</v>
      </c>
      <c r="N129" s="39">
        <f>VLOOKUP(Tabela25[[#This Row],[CÓDIGO]],'[1]Estrutura Loja'!$B$3:$E$1825,4,0)</f>
        <v>2.3616629431666665</v>
      </c>
      <c r="O129" s="39">
        <f>Tabela25[[#This Row],[QUANT. VENDA]]*Tabela25[[#This Row],[PREÇO PRATICADO]]</f>
        <v>0</v>
      </c>
      <c r="P129" s="39">
        <f>Tabela25[[#This Row],[QUANT. VENDA]]*Tabela25[[#This Row],[CUSTO]]</f>
        <v>0</v>
      </c>
      <c r="Q129" s="55">
        <f>Tabela25[[#This Row],[CUSTO]]/Tabela25[[#This Row],[PREÇO PRATICADO]]</f>
        <v>0.21469663119696969</v>
      </c>
    </row>
    <row r="130" spans="1:22" ht="15.75" customHeight="1" x14ac:dyDescent="0.3">
      <c r="A130" s="42">
        <v>100200082</v>
      </c>
      <c r="B130" s="34">
        <v>1002</v>
      </c>
      <c r="C130" s="28" t="s">
        <v>147</v>
      </c>
      <c r="D130" s="43" t="s">
        <v>150</v>
      </c>
      <c r="E130" s="36">
        <v>11</v>
      </c>
      <c r="F130" s="36">
        <v>12</v>
      </c>
      <c r="G130" s="21">
        <f>VLOOKUP(Tabela25[[#This Row],[CÓDIGO]],'[1]Estrutura Loja'!$B$3:$M$2941,5,0)</f>
        <v>8.4975312436723875</v>
      </c>
      <c r="H130" s="37">
        <f t="shared" si="1"/>
        <v>2.5024687563276125</v>
      </c>
      <c r="I130" s="36">
        <v>11</v>
      </c>
      <c r="J130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0.26324421038718876</v>
      </c>
      <c r="K130" s="53">
        <f>Tabela25[[#This Row],[PREÇO PRATICADO]]*Tabela25[[#This Row],[LUCRO REAL %]]</f>
        <v>2.8956863142590765</v>
      </c>
      <c r="L130" s="24"/>
      <c r="M130" s="54">
        <f>IF(Tabela25[[#This Row],[QUANT. VENDA]]=0,0,((Tabela25[[#This Row],[CUSTO]]*Tabela25[[#This Row],[QUANT. VENDA]])/(Tabela25[[#This Row],[QUANT. VENDA]]*Tabela25[[#This Row],[PREÇO PRATICADO]])))</f>
        <v>0</v>
      </c>
      <c r="N130" s="39">
        <f>VLOOKUP(Tabela25[[#This Row],[CÓDIGO]],'[1]Estrutura Loja'!$B$3:$E$1825,4,0)</f>
        <v>2.3623136857409239</v>
      </c>
      <c r="O130" s="39">
        <f>Tabela25[[#This Row],[QUANT. VENDA]]*Tabela25[[#This Row],[PREÇO PRATICADO]]</f>
        <v>0</v>
      </c>
      <c r="P130" s="39">
        <f>Tabela25[[#This Row],[QUANT. VENDA]]*Tabela25[[#This Row],[CUSTO]]</f>
        <v>0</v>
      </c>
      <c r="Q130" s="55">
        <f>Tabela25[[#This Row],[CUSTO]]/Tabela25[[#This Row],[PREÇO PRATICADO]]</f>
        <v>0.21475578961281128</v>
      </c>
    </row>
    <row r="131" spans="1:22" ht="15.75" customHeight="1" x14ac:dyDescent="0.3">
      <c r="A131" s="42">
        <v>100200070</v>
      </c>
      <c r="B131" s="34">
        <v>1002</v>
      </c>
      <c r="C131" s="28" t="str">
        <f>VLOOKUP(Tabela25[[#This Row],[GRUPO]],[1]Produto!H19:I370,2,0)</f>
        <v>Cascao</v>
      </c>
      <c r="D131" s="43" t="s">
        <v>151</v>
      </c>
      <c r="E131" s="36">
        <v>11</v>
      </c>
      <c r="F131" s="36">
        <v>12</v>
      </c>
      <c r="G131" s="21">
        <f>VLOOKUP(Tabela25[[#This Row],[CÓDIGO]],'[1]Estrutura Loja'!$B$3:$M$2941,5,0)</f>
        <v>11.986529771582731</v>
      </c>
      <c r="H131" s="37">
        <f t="shared" si="1"/>
        <v>-0.98652977158273103</v>
      </c>
      <c r="I131" s="36">
        <v>11</v>
      </c>
      <c r="J131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0.17506770213636366</v>
      </c>
      <c r="K131" s="53">
        <f>Tabela25[[#This Row],[PREÇO PRATICADO]]*Tabela25[[#This Row],[LUCRO REAL %]]</f>
        <v>1.9257447235000003</v>
      </c>
      <c r="L131" s="24"/>
      <c r="M131" s="54">
        <f>IF(Tabela25[[#This Row],[QUANT. VENDA]]=0,0,((Tabela25[[#This Row],[CUSTO]]*Tabela25[[#This Row],[QUANT. VENDA]])/(Tabela25[[#This Row],[QUANT. VENDA]]*Tabela25[[#This Row],[PREÇO PRATICADO]])))</f>
        <v>0</v>
      </c>
      <c r="N131" s="39">
        <f>VLOOKUP(Tabela25[[#This Row],[CÓDIGO]],'[1]Estrutura Loja'!$B$3:$E$1825,4,0)</f>
        <v>3.3322552764999998</v>
      </c>
      <c r="O131" s="39">
        <f>Tabela25[[#This Row],[QUANT. VENDA]]*Tabela25[[#This Row],[PREÇO PRATICADO]]</f>
        <v>0</v>
      </c>
      <c r="P131" s="39">
        <f>Tabela25[[#This Row],[QUANT. VENDA]]*Tabela25[[#This Row],[CUSTO]]</f>
        <v>0</v>
      </c>
      <c r="Q131" s="55">
        <f>Tabela25[[#This Row],[CUSTO]]/Tabela25[[#This Row],[PREÇO PRATICADO]]</f>
        <v>0.30293229786363635</v>
      </c>
    </row>
    <row r="132" spans="1:22" x14ac:dyDescent="0.3">
      <c r="A132" s="42">
        <v>100200076</v>
      </c>
      <c r="B132" s="34">
        <v>1002</v>
      </c>
      <c r="C132" s="28" t="s">
        <v>147</v>
      </c>
      <c r="D132" s="43" t="s">
        <v>152</v>
      </c>
      <c r="E132" s="36">
        <v>11</v>
      </c>
      <c r="F132" s="36">
        <v>12</v>
      </c>
      <c r="G132" s="21">
        <f>VLOOKUP(Tabela25[[#This Row],[CÓDIGO]],'[1]Estrutura Loja'!$B$3:$M$2941,5,0)</f>
        <v>12.442554951438847</v>
      </c>
      <c r="H132" s="37">
        <f t="shared" si="1"/>
        <v>-1.4425549514388472</v>
      </c>
      <c r="I132" s="36">
        <v>11</v>
      </c>
      <c r="J132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0.16354270213636368</v>
      </c>
      <c r="K132" s="53">
        <f>Tabela25[[#This Row],[PREÇO PRATICADO]]*Tabela25[[#This Row],[LUCRO REAL %]]</f>
        <v>1.7989697235000004</v>
      </c>
      <c r="L132" s="24"/>
      <c r="M132" s="54">
        <f>IF(Tabela25[[#This Row],[QUANT. VENDA]]=0,0,((Tabela25[[#This Row],[CUSTO]]*Tabela25[[#This Row],[QUANT. VENDA]])/(Tabela25[[#This Row],[QUANT. VENDA]]*Tabela25[[#This Row],[PREÇO PRATICADO]])))</f>
        <v>0</v>
      </c>
      <c r="N132" s="39">
        <f>VLOOKUP(Tabela25[[#This Row],[CÓDIGO]],'[1]Estrutura Loja'!$B$3:$E$1825,4,0)</f>
        <v>3.4590302764999996</v>
      </c>
      <c r="O132" s="39">
        <f>Tabela25[[#This Row],[QUANT. VENDA]]*Tabela25[[#This Row],[PREÇO PRATICADO]]</f>
        <v>0</v>
      </c>
      <c r="P132" s="39">
        <f>Tabela25[[#This Row],[QUANT. VENDA]]*Tabela25[[#This Row],[CUSTO]]</f>
        <v>0</v>
      </c>
      <c r="Q132" s="55">
        <f>Tabela25[[#This Row],[CUSTO]]/Tabela25[[#This Row],[PREÇO PRATICADO]]</f>
        <v>0.31445729786363635</v>
      </c>
      <c r="R132" s="40"/>
      <c r="S132" s="40"/>
      <c r="T132" s="40"/>
    </row>
    <row r="133" spans="1:22" x14ac:dyDescent="0.3">
      <c r="A133" s="42">
        <v>100200073</v>
      </c>
      <c r="B133" s="34">
        <v>1002</v>
      </c>
      <c r="C133" s="28" t="s">
        <v>147</v>
      </c>
      <c r="D133" s="43" t="s">
        <v>153</v>
      </c>
      <c r="E133" s="36">
        <v>11</v>
      </c>
      <c r="F133" s="36">
        <v>12</v>
      </c>
      <c r="G133" s="21">
        <f>VLOOKUP(Tabela25[[#This Row],[CÓDIGO]],'[1]Estrutura Loja'!$B$3:$M$2941,5,0)</f>
        <v>12.444895752065673</v>
      </c>
      <c r="H133" s="37">
        <f t="shared" ref="H133:H196" si="2">E133-G133</f>
        <v>-1.4448957520656727</v>
      </c>
      <c r="I133" s="36">
        <v>11</v>
      </c>
      <c r="J133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0.1634835437205221</v>
      </c>
      <c r="K133" s="53">
        <f>Tabela25[[#This Row],[PREÇO PRATICADO]]*Tabela25[[#This Row],[LUCRO REAL %]]</f>
        <v>1.7983189809257429</v>
      </c>
      <c r="L133" s="24"/>
      <c r="M133" s="54">
        <f>IF(Tabela25[[#This Row],[QUANT. VENDA]]=0,0,((Tabela25[[#This Row],[CUSTO]]*Tabela25[[#This Row],[QUANT. VENDA]])/(Tabela25[[#This Row],[QUANT. VENDA]]*Tabela25[[#This Row],[PREÇO PRATICADO]])))</f>
        <v>0</v>
      </c>
      <c r="N133" s="39">
        <f>VLOOKUP(Tabela25[[#This Row],[CÓDIGO]],'[1]Estrutura Loja'!$B$3:$E$1825,4,0)</f>
        <v>3.4596810190742571</v>
      </c>
      <c r="O133" s="39">
        <f>Tabela25[[#This Row],[QUANT. VENDA]]*Tabela25[[#This Row],[PREÇO PRATICADO]]</f>
        <v>0</v>
      </c>
      <c r="P133" s="39">
        <f>Tabela25[[#This Row],[QUANT. VENDA]]*Tabela25[[#This Row],[CUSTO]]</f>
        <v>0</v>
      </c>
      <c r="Q133" s="55">
        <f>Tabela25[[#This Row],[CUSTO]]/Tabela25[[#This Row],[PREÇO PRATICADO]]</f>
        <v>0.31451645627947794</v>
      </c>
      <c r="R133" s="40"/>
      <c r="S133" s="40"/>
      <c r="T133" s="40"/>
    </row>
    <row r="134" spans="1:22" x14ac:dyDescent="0.3">
      <c r="A134" s="42">
        <v>100200067</v>
      </c>
      <c r="B134" s="28">
        <v>1002</v>
      </c>
      <c r="C134" s="28" t="str">
        <f>VLOOKUP(Tabela25[[#This Row],[GRUPO]],[1]Produto!H18:I369,2,0)</f>
        <v>Cascao</v>
      </c>
      <c r="D134" s="43" t="s">
        <v>154</v>
      </c>
      <c r="E134" s="36">
        <v>11</v>
      </c>
      <c r="F134" s="36">
        <v>12</v>
      </c>
      <c r="G134" s="21">
        <f>VLOOKUP(Tabela25[[#This Row],[CÓDIGO]],'[1]Estrutura Loja'!$B$3:$M$2941,5,0)</f>
        <v>10.746180850719423</v>
      </c>
      <c r="H134" s="37">
        <f t="shared" si="2"/>
        <v>0.25381914928057725</v>
      </c>
      <c r="I134" s="36">
        <v>11</v>
      </c>
      <c r="J13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0.20641470213636365</v>
      </c>
      <c r="K134" s="46">
        <f>Tabela25[[#This Row],[PREÇO PRATICADO]]*Tabela25[[#This Row],[LUCRO REAL %]]</f>
        <v>2.2705617235000002</v>
      </c>
      <c r="L134" s="24"/>
      <c r="M134" s="54">
        <f>IF(Tabela25[[#This Row],[QUANT. VENDA]]=0,0,((Tabela25[[#This Row],[CUSTO]]*Tabela25[[#This Row],[QUANT. VENDA]])/(Tabela25[[#This Row],[QUANT. VENDA]]*Tabela25[[#This Row],[PREÇO PRATICADO]])))</f>
        <v>0</v>
      </c>
      <c r="N134" s="39">
        <f>VLOOKUP(Tabela25[[#This Row],[CÓDIGO]],'[1]Estrutura Loja'!$B$3:$E$1825,4,0)</f>
        <v>2.9874382764999998</v>
      </c>
      <c r="O134" s="39">
        <f>Tabela25[[#This Row],[QUANT. VENDA]]*Tabela25[[#This Row],[PREÇO PRATICADO]]</f>
        <v>0</v>
      </c>
      <c r="P134" s="39">
        <f>Tabela25[[#This Row],[QUANT. VENDA]]*Tabela25[[#This Row],[CUSTO]]</f>
        <v>0</v>
      </c>
      <c r="Q134" s="49">
        <f>Tabela25[[#This Row],[CUSTO]]/Tabela25[[#This Row],[PREÇO PRATICADO]]</f>
        <v>0.27158529786363633</v>
      </c>
      <c r="R134" s="40"/>
      <c r="S134" s="41"/>
      <c r="T134" s="40"/>
    </row>
    <row r="135" spans="1:22" x14ac:dyDescent="0.3">
      <c r="A135" s="42">
        <v>100200064</v>
      </c>
      <c r="B135" s="28">
        <v>1002</v>
      </c>
      <c r="C135" s="28" t="str">
        <f>VLOOKUP(Tabela25[[#This Row],[GRUPO]],[1]Produto!H17:I368,2,0)</f>
        <v>Cascao</v>
      </c>
      <c r="D135" s="43" t="s">
        <v>155</v>
      </c>
      <c r="E135" s="36">
        <v>11</v>
      </c>
      <c r="F135" s="36">
        <v>12</v>
      </c>
      <c r="G135" s="21">
        <f>VLOOKUP(Tabela25[[#This Row],[CÓDIGO]],'[1]Estrutura Loja'!$B$3:$M$2941,5,0)</f>
        <v>9.8438697852860564</v>
      </c>
      <c r="H135" s="45">
        <f t="shared" si="2"/>
        <v>1.1561302147139436</v>
      </c>
      <c r="I135" s="36">
        <v>11</v>
      </c>
      <c r="J13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0.2292185636082251</v>
      </c>
      <c r="K135" s="46">
        <f>Tabela25[[#This Row],[PREÇO PRATICADO]]*Tabela25[[#This Row],[LUCRO REAL %]]</f>
        <v>2.5214041996904761</v>
      </c>
      <c r="L135" s="24"/>
      <c r="M135" s="54">
        <f>IF(Tabela25[[#This Row],[QUANT. VENDA]]=0,0,((Tabela25[[#This Row],[CUSTO]]*Tabela25[[#This Row],[QUANT. VENDA]])/(Tabela25[[#This Row],[QUANT. VENDA]]*Tabela25[[#This Row],[PREÇO PRATICADO]])))</f>
        <v>0</v>
      </c>
      <c r="N135" s="48">
        <f>VLOOKUP(Tabela25[[#This Row],[CÓDIGO]],'[1]Estrutura Loja'!$B$3:$E$1825,4,0)</f>
        <v>2.7365958003095239</v>
      </c>
      <c r="O135" s="48">
        <f>Tabela25[[#This Row],[QUANT. VENDA]]*Tabela25[[#This Row],[PREÇO PRATICADO]]</f>
        <v>0</v>
      </c>
      <c r="P135" s="48">
        <f>Tabela25[[#This Row],[QUANT. VENDA]]*Tabela25[[#This Row],[CUSTO]]</f>
        <v>0</v>
      </c>
      <c r="Q135" s="49">
        <f>Tabela25[[#This Row],[CUSTO]]/Tabela25[[#This Row],[PREÇO PRATICADO]]</f>
        <v>0.24878143639177488</v>
      </c>
      <c r="R135" s="41"/>
      <c r="S135" s="41"/>
      <c r="T135" s="40"/>
    </row>
    <row r="136" spans="1:22" x14ac:dyDescent="0.3">
      <c r="A136" s="42">
        <v>100200077</v>
      </c>
      <c r="B136" s="34">
        <v>1002</v>
      </c>
      <c r="C136" s="28" t="s">
        <v>147</v>
      </c>
      <c r="D136" s="51" t="s">
        <v>156</v>
      </c>
      <c r="E136" s="36">
        <v>13</v>
      </c>
      <c r="F136" s="36">
        <v>15</v>
      </c>
      <c r="G136" s="37">
        <f>VLOOKUP(Tabela25[[#This Row],[CÓDIGO]],'[1]Estrutura Loja'!$B$3:$M$2941,5,0)</f>
        <v>13.254330515587526</v>
      </c>
      <c r="H136" s="37">
        <f t="shared" si="2"/>
        <v>-0.25433051558752595</v>
      </c>
      <c r="I136" s="36">
        <v>13</v>
      </c>
      <c r="J136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0.19456123974358977</v>
      </c>
      <c r="K136" s="53">
        <f>Tabela25[[#This Row],[PREÇO PRATICADO]]*Tabela25[[#This Row],[LUCRO REAL %]]</f>
        <v>2.529296116666667</v>
      </c>
      <c r="L136" s="38"/>
      <c r="M136" s="67">
        <f>IF(Tabela25[[#This Row],[QUANT. VENDA]]=0,0,((Tabela25[[#This Row],[CUSTO]]*Tabela25[[#This Row],[QUANT. VENDA]])/(Tabela25[[#This Row],[QUANT. VENDA]]*Tabela25[[#This Row],[PREÇO PRATICADO]])))</f>
        <v>0</v>
      </c>
      <c r="N136" s="39">
        <f>VLOOKUP(Tabela25[[#This Row],[CÓDIGO]],'[1]Estrutura Loja'!$B$3:$E$1825,4,0)</f>
        <v>3.6847038833333325</v>
      </c>
      <c r="O136" s="39">
        <f>Tabela25[[#This Row],[QUANT. VENDA]]*Tabela25[[#This Row],[PREÇO PRATICADO]]</f>
        <v>0</v>
      </c>
      <c r="P136" s="39">
        <f>Tabela25[[#This Row],[QUANT. VENDA]]*Tabela25[[#This Row],[CUSTO]]</f>
        <v>0</v>
      </c>
      <c r="Q136" s="55">
        <f>Tabela25[[#This Row],[CUSTO]]/Tabela25[[#This Row],[PREÇO PRATICADO]]</f>
        <v>0.28343876025641018</v>
      </c>
      <c r="R136" s="41"/>
      <c r="S136" s="41"/>
      <c r="T136" s="40"/>
    </row>
    <row r="137" spans="1:22" x14ac:dyDescent="0.3">
      <c r="A137" s="42">
        <v>100200078</v>
      </c>
      <c r="B137" s="34">
        <v>1002</v>
      </c>
      <c r="C137" s="28" t="s">
        <v>147</v>
      </c>
      <c r="D137" s="51" t="s">
        <v>157</v>
      </c>
      <c r="E137" s="36">
        <v>18</v>
      </c>
      <c r="F137" s="36">
        <v>20</v>
      </c>
      <c r="G137" s="37">
        <f>VLOOKUP(Tabela25[[#This Row],[CÓDIGO]],'[1]Estrutura Loja'!$B$3:$M$2941,5,0)</f>
        <v>18.273934832134291</v>
      </c>
      <c r="H137" s="37">
        <f t="shared" si="2"/>
        <v>-0.27393483213429093</v>
      </c>
      <c r="I137" s="36">
        <v>18</v>
      </c>
      <c r="J137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0.19576922870370364</v>
      </c>
      <c r="K137" s="53">
        <f>Tabela25[[#This Row],[PREÇO PRATICADO]]*Tabela25[[#This Row],[LUCRO REAL %]]</f>
        <v>3.5238461166666655</v>
      </c>
      <c r="L137" s="38"/>
      <c r="M137" s="67">
        <f>IF(Tabela25[[#This Row],[QUANT. VENDA]]=0,0,((Tabela25[[#This Row],[CUSTO]]*Tabela25[[#This Row],[QUANT. VENDA]])/(Tabela25[[#This Row],[QUANT. VENDA]]*Tabela25[[#This Row],[PREÇO PRATICADO]])))</f>
        <v>0</v>
      </c>
      <c r="N137" s="39">
        <f>VLOOKUP(Tabela25[[#This Row],[CÓDIGO]],'[1]Estrutura Loja'!$B$3:$E$1825,4,0)</f>
        <v>5.0801538833333337</v>
      </c>
      <c r="O137" s="39">
        <f>Tabela25[[#This Row],[QUANT. VENDA]]*Tabela25[[#This Row],[PREÇO PRATICADO]]</f>
        <v>0</v>
      </c>
      <c r="P137" s="39">
        <f>Tabela25[[#This Row],[QUANT. VENDA]]*Tabela25[[#This Row],[CUSTO]]</f>
        <v>0</v>
      </c>
      <c r="Q137" s="55">
        <f>Tabela25[[#This Row],[CUSTO]]/Tabela25[[#This Row],[PREÇO PRATICADO]]</f>
        <v>0.28223077129629631</v>
      </c>
      <c r="R137" s="41"/>
      <c r="S137" s="41"/>
      <c r="T137" s="40"/>
    </row>
    <row r="138" spans="1:22" x14ac:dyDescent="0.3">
      <c r="A138" s="66">
        <v>100200086</v>
      </c>
      <c r="B138" s="34">
        <v>1002</v>
      </c>
      <c r="C138" s="28" t="s">
        <v>147</v>
      </c>
      <c r="D138" s="51" t="s">
        <v>158</v>
      </c>
      <c r="E138" s="36">
        <v>20</v>
      </c>
      <c r="F138" s="36">
        <v>22</v>
      </c>
      <c r="G138" s="37">
        <f>VLOOKUP(Tabela25[[#This Row],[CÓDIGO]],'[1]Estrutura Loja'!$B$3:$M$2941,5,0)</f>
        <v>19.170334327937656</v>
      </c>
      <c r="H138" s="37">
        <f t="shared" si="2"/>
        <v>0.82966567206234387</v>
      </c>
      <c r="I138" s="36">
        <v>20</v>
      </c>
      <c r="J138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0.21153235284166652</v>
      </c>
      <c r="K138" s="53">
        <f>Tabela25[[#This Row],[PREÇO PRATICADO]]*Tabela25[[#This Row],[LUCRO REAL %]]</f>
        <v>4.2306470568333303</v>
      </c>
      <c r="L138" s="38"/>
      <c r="M138" s="67">
        <f>IF(Tabela25[[#This Row],[QUANT. VENDA]]=0,0,((Tabela25[[#This Row],[CUSTO]]*Tabela25[[#This Row],[QUANT. VENDA]])/(Tabela25[[#This Row],[QUANT. VENDA]]*Tabela25[[#This Row],[PREÇO PRATICADO]])))</f>
        <v>0</v>
      </c>
      <c r="N138" s="39">
        <f>VLOOKUP(Tabela25[[#This Row],[CÓDIGO]],'[1]Estrutura Loja'!$B$3:$E$1825,4,0)</f>
        <v>5.3293529431666684</v>
      </c>
      <c r="O138" s="39">
        <f>Tabela25[[#This Row],[QUANT. VENDA]]*Tabela25[[#This Row],[PREÇO PRATICADO]]</f>
        <v>0</v>
      </c>
      <c r="P138" s="39">
        <f>Tabela25[[#This Row],[QUANT. VENDA]]*Tabela25[[#This Row],[CUSTO]]</f>
        <v>0</v>
      </c>
      <c r="Q138" s="55">
        <f>Tabela25[[#This Row],[CUSTO]]/Tabela25[[#This Row],[PREÇO PRATICADO]]</f>
        <v>0.26646764715833343</v>
      </c>
      <c r="R138" s="41"/>
      <c r="S138" s="41"/>
      <c r="T138" s="40"/>
    </row>
    <row r="139" spans="1:22" x14ac:dyDescent="0.3">
      <c r="A139" s="42">
        <v>100100013</v>
      </c>
      <c r="B139" s="28">
        <v>1001</v>
      </c>
      <c r="C139" s="28" t="str">
        <f>VLOOKUP(Tabela25[[#This Row],[GRUPO]],[1]Produto!H4:I353,2,0)</f>
        <v>Casquinha</v>
      </c>
      <c r="D139" s="43" t="s">
        <v>159</v>
      </c>
      <c r="E139" s="44">
        <v>5</v>
      </c>
      <c r="F139" s="44">
        <v>6</v>
      </c>
      <c r="G139" s="21">
        <f>VLOOKUP(Tabela25[[#This Row],[CÓDIGO]],'[1]Estrutura Loja'!$B$3:$M$2941,5,0)</f>
        <v>4.9543236564748208</v>
      </c>
      <c r="H139" s="45">
        <f t="shared" si="2"/>
        <v>4.5676343525179242E-2</v>
      </c>
      <c r="I139" s="44">
        <v>5</v>
      </c>
      <c r="J13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0.20253960469999988</v>
      </c>
      <c r="K139" s="46">
        <f>Tabela25[[#This Row],[PREÇO PRATICADO]]*Tabela25[[#This Row],[LUCRO REAL %]]</f>
        <v>1.0126980234999994</v>
      </c>
      <c r="L139" s="24"/>
      <c r="M139" s="54">
        <f>IF(Tabela25[[#This Row],[QUANT. VENDA]]=0,0,((Tabela25[[#This Row],[CUSTO]]*Tabela25[[#This Row],[QUANT. VENDA]])/(Tabela25[[#This Row],[QUANT. VENDA]]*Tabela25[[#This Row],[PREÇO PRATICADO]])))</f>
        <v>0</v>
      </c>
      <c r="N139" s="48">
        <f>VLOOKUP(Tabela25[[#This Row],[CÓDIGO]],'[1]Estrutura Loja'!$B$3:$E$1825,4,0)</f>
        <v>1.3773019765000003</v>
      </c>
      <c r="O139" s="48">
        <f>Tabela25[[#This Row],[QUANT. VENDA]]*Tabela25[[#This Row],[PREÇO PRATICADO]]</f>
        <v>0</v>
      </c>
      <c r="P139" s="48">
        <f>Tabela25[[#This Row],[QUANT. VENDA]]*Tabela25[[#This Row],[CUSTO]]</f>
        <v>0</v>
      </c>
      <c r="Q139" s="49">
        <f>Tabela25[[#This Row],[CUSTO]]/Tabela25[[#This Row],[PREÇO PRATICADO]]</f>
        <v>0.27546039530000005</v>
      </c>
      <c r="R139" s="41"/>
      <c r="S139" s="41"/>
      <c r="T139" s="40"/>
    </row>
    <row r="140" spans="1:22" x14ac:dyDescent="0.3">
      <c r="A140" s="42">
        <v>100100004</v>
      </c>
      <c r="B140" s="28">
        <v>1001</v>
      </c>
      <c r="C140" s="28" t="str">
        <f>VLOOKUP(Tabela25[[#This Row],[GRUPO]],[1]Produto!H2:I351,2,0)</f>
        <v>Casquinha</v>
      </c>
      <c r="D140" s="43" t="s">
        <v>160</v>
      </c>
      <c r="E140" s="44">
        <v>6</v>
      </c>
      <c r="F140" s="44">
        <v>7</v>
      </c>
      <c r="G140" s="21">
        <f>VLOOKUP(Tabela25[[#This Row],[CÓDIGO]],'[1]Estrutura Loja'!$B$3:$M$2941,5,0)</f>
        <v>5.6849515701438849</v>
      </c>
      <c r="H140" s="45">
        <f t="shared" si="2"/>
        <v>0.31504842985611514</v>
      </c>
      <c r="I140" s="44">
        <v>6</v>
      </c>
      <c r="J14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0.21459724391666665</v>
      </c>
      <c r="K140" s="46">
        <f>Tabela25[[#This Row],[PREÇO PRATICADO]]*Tabela25[[#This Row],[LUCRO REAL %]]</f>
        <v>1.2875834634999999</v>
      </c>
      <c r="L140" s="24"/>
      <c r="M140" s="54">
        <f>IF(Tabela25[[#This Row],[QUANT. VENDA]]=0,0,((Tabela25[[#This Row],[CUSTO]]*Tabela25[[#This Row],[QUANT. VENDA]])/(Tabela25[[#This Row],[QUANT. VENDA]]*Tabela25[[#This Row],[PREÇO PRATICADO]])))</f>
        <v>0</v>
      </c>
      <c r="N140" s="48">
        <f>VLOOKUP(Tabela25[[#This Row],[CÓDIGO]],'[1]Estrutura Loja'!$B$3:$E$1825,4,0)</f>
        <v>1.5804165365</v>
      </c>
      <c r="O140" s="48">
        <f>Tabela25[[#This Row],[QUANT. VENDA]]*Tabela25[[#This Row],[PREÇO PRATICADO]]</f>
        <v>0</v>
      </c>
      <c r="P140" s="48">
        <f>Tabela25[[#This Row],[QUANT. VENDA]]*Tabela25[[#This Row],[CUSTO]]</f>
        <v>0</v>
      </c>
      <c r="Q140" s="49">
        <f>Tabela25[[#This Row],[CUSTO]]/Tabela25[[#This Row],[PREÇO PRATICADO]]</f>
        <v>0.26340275608333336</v>
      </c>
      <c r="R140" s="41"/>
      <c r="S140" s="41"/>
      <c r="T140" s="40"/>
    </row>
    <row r="141" spans="1:22" s="86" customFormat="1" ht="14.25" customHeight="1" x14ac:dyDescent="0.3">
      <c r="A141" s="85">
        <v>100100007</v>
      </c>
      <c r="B141" s="28">
        <v>1001</v>
      </c>
      <c r="C141" s="28" t="str">
        <f>VLOOKUP(Tabela25[[#This Row],[GRUPO]],[1]Produto!H3:I352,2,0)</f>
        <v>Casquinha</v>
      </c>
      <c r="D141" s="43" t="s">
        <v>161</v>
      </c>
      <c r="E141" s="44">
        <v>6</v>
      </c>
      <c r="F141" s="44">
        <v>7</v>
      </c>
      <c r="G141" s="21">
        <f>VLOOKUP(Tabela25[[#This Row],[CÓDIGO]],'[1]Estrutura Loja'!$B$3:$M$2941,5,0)</f>
        <v>5.7310152032374102</v>
      </c>
      <c r="H141" s="45">
        <f t="shared" si="2"/>
        <v>0.2689847967625898</v>
      </c>
      <c r="I141" s="44">
        <v>6</v>
      </c>
      <c r="J14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0.21246296224999994</v>
      </c>
      <c r="K141" s="46">
        <f>Tabela25[[#This Row],[PREÇO PRATICADO]]*Tabela25[[#This Row],[LUCRO REAL %]]</f>
        <v>1.2747777734999997</v>
      </c>
      <c r="L141" s="24"/>
      <c r="M141" s="54">
        <f>IF(Tabela25[[#This Row],[QUANT. VENDA]]=0,0,((Tabela25[[#This Row],[CUSTO]]*Tabela25[[#This Row],[QUANT. VENDA]])/(Tabela25[[#This Row],[QUANT. VENDA]]*Tabela25[[#This Row],[PREÇO PRATICADO]])))</f>
        <v>0</v>
      </c>
      <c r="N141" s="48">
        <f>VLOOKUP(Tabela25[[#This Row],[CÓDIGO]],'[1]Estrutura Loja'!$B$3:$E$1825,4,0)</f>
        <v>1.5932222265000002</v>
      </c>
      <c r="O141" s="48">
        <f>Tabela25[[#This Row],[QUANT. VENDA]]*Tabela25[[#This Row],[PREÇO PRATICADO]]</f>
        <v>0</v>
      </c>
      <c r="P141" s="48">
        <f>Tabela25[[#This Row],[QUANT. VENDA]]*Tabela25[[#This Row],[CUSTO]]</f>
        <v>0</v>
      </c>
      <c r="Q141" s="49">
        <f>Tabela25[[#This Row],[CUSTO]]/Tabela25[[#This Row],[PREÇO PRATICADO]]</f>
        <v>0.26553703775000004</v>
      </c>
      <c r="R141" s="87"/>
      <c r="S141" s="87"/>
      <c r="T141" s="88"/>
    </row>
    <row r="142" spans="1:22" s="86" customFormat="1" ht="14.25" customHeight="1" x14ac:dyDescent="0.3">
      <c r="A142" s="85">
        <v>100100016</v>
      </c>
      <c r="B142" s="28">
        <v>1001</v>
      </c>
      <c r="C142" s="28" t="str">
        <f>VLOOKUP(Tabela25[[#This Row],[GRUPO]],[1]Produto!H5:I354,2,0)</f>
        <v>Casquinha</v>
      </c>
      <c r="D142" s="43" t="s">
        <v>162</v>
      </c>
      <c r="E142" s="44">
        <v>9</v>
      </c>
      <c r="F142" s="44">
        <v>10</v>
      </c>
      <c r="G142" s="21">
        <f>VLOOKUP(Tabela25[[#This Row],[CÓDIGO]],'[1]Estrutura Loja'!$B$3:$M$2941,5,0)</f>
        <v>7.4034192371531349</v>
      </c>
      <c r="H142" s="45">
        <f t="shared" si="2"/>
        <v>1.5965807628468651</v>
      </c>
      <c r="I142" s="44">
        <v>9</v>
      </c>
      <c r="J14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0.24931660578571421</v>
      </c>
      <c r="K142" s="46">
        <f>Tabela25[[#This Row],[PREÇO PRATICADO]]*Tabela25[[#This Row],[LUCRO REAL %]]</f>
        <v>2.2438494520714278</v>
      </c>
      <c r="L142" s="24"/>
      <c r="M142" s="54">
        <f>IF(Tabela25[[#This Row],[QUANT. VENDA]]=0,0,((Tabela25[[#This Row],[CUSTO]]*Tabela25[[#This Row],[QUANT. VENDA]])/(Tabela25[[#This Row],[QUANT. VENDA]]*Tabela25[[#This Row],[PREÇO PRATICADO]])))</f>
        <v>0</v>
      </c>
      <c r="N142" s="48">
        <f>VLOOKUP(Tabela25[[#This Row],[CÓDIGO]],'[1]Estrutura Loja'!$B$3:$E$1825,4,0)</f>
        <v>2.0581505479285718</v>
      </c>
      <c r="O142" s="48">
        <f>Tabela25[[#This Row],[QUANT. VENDA]]*Tabela25[[#This Row],[PREÇO PRATICADO]]</f>
        <v>0</v>
      </c>
      <c r="P142" s="48">
        <f>Tabela25[[#This Row],[QUANT. VENDA]]*Tabela25[[#This Row],[CUSTO]]</f>
        <v>0</v>
      </c>
      <c r="Q142" s="49">
        <f>Tabela25[[#This Row],[CUSTO]]/Tabela25[[#This Row],[PREÇO PRATICADO]]</f>
        <v>0.22868339421428574</v>
      </c>
      <c r="R142" s="87"/>
      <c r="S142" s="87"/>
      <c r="T142" s="88"/>
    </row>
    <row r="143" spans="1:22" s="86" customFormat="1" ht="14.25" customHeight="1" x14ac:dyDescent="0.3">
      <c r="A143" s="85">
        <v>100100019</v>
      </c>
      <c r="B143" s="28">
        <v>1001</v>
      </c>
      <c r="C143" s="28" t="str">
        <f>VLOOKUP(Tabela25[[#This Row],[GRUPO]],[1]Produto!H6:I355,2,0)</f>
        <v>Casquinha</v>
      </c>
      <c r="D143" s="43" t="s">
        <v>163</v>
      </c>
      <c r="E143" s="44">
        <v>9</v>
      </c>
      <c r="F143" s="44">
        <v>10</v>
      </c>
      <c r="G143" s="21">
        <f>VLOOKUP(Tabela25[[#This Row],[CÓDIGO]],'[1]Estrutura Loja'!$B$3:$M$2941,5,0)</f>
        <v>7.3441764135902021</v>
      </c>
      <c r="H143" s="45">
        <f t="shared" si="2"/>
        <v>1.6558235864097979</v>
      </c>
      <c r="I143" s="44">
        <v>9</v>
      </c>
      <c r="J14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0.2511465507802137</v>
      </c>
      <c r="K143" s="46">
        <f>Tabela25[[#This Row],[PREÇO PRATICADO]]*Tabela25[[#This Row],[LUCRO REAL %]]</f>
        <v>2.2603189570219233</v>
      </c>
      <c r="L143" s="24"/>
      <c r="M143" s="54">
        <f>IF(Tabela25[[#This Row],[QUANT. VENDA]]=0,0,((Tabela25[[#This Row],[CUSTO]]*Tabela25[[#This Row],[QUANT. VENDA]])/(Tabela25[[#This Row],[QUANT. VENDA]]*Tabela25[[#This Row],[PREÇO PRATICADO]])))</f>
        <v>0</v>
      </c>
      <c r="N143" s="48">
        <f>VLOOKUP(Tabela25[[#This Row],[CÓDIGO]],'[1]Estrutura Loja'!$B$3:$E$1825,4,0)</f>
        <v>2.0416810429780763</v>
      </c>
      <c r="O143" s="48">
        <f>Tabela25[[#This Row],[QUANT. VENDA]]*Tabela25[[#This Row],[PREÇO PRATICADO]]</f>
        <v>0</v>
      </c>
      <c r="P143" s="48">
        <f>Tabela25[[#This Row],[QUANT. VENDA]]*Tabela25[[#This Row],[CUSTO]]</f>
        <v>0</v>
      </c>
      <c r="Q143" s="49">
        <f>Tabela25[[#This Row],[CUSTO]]/Tabela25[[#This Row],[PREÇO PRATICADO]]</f>
        <v>0.22685344921978626</v>
      </c>
      <c r="R143" s="87"/>
      <c r="S143" s="87"/>
      <c r="T143" s="88"/>
    </row>
    <row r="144" spans="1:22" s="86" customFormat="1" ht="14.25" customHeight="1" x14ac:dyDescent="0.3">
      <c r="A144" s="85">
        <v>100100047</v>
      </c>
      <c r="B144" s="28">
        <v>1001</v>
      </c>
      <c r="C144" s="34" t="s">
        <v>164</v>
      </c>
      <c r="D144" s="43" t="s">
        <v>165</v>
      </c>
      <c r="E144" s="44">
        <v>9</v>
      </c>
      <c r="F144" s="44">
        <v>10</v>
      </c>
      <c r="G144" s="21">
        <f>VLOOKUP(Tabela25[[#This Row],[CÓDIGO]],'[1]Estrutura Loja'!$B$3:$M$2941,5,0)</f>
        <v>6.1311109766187055</v>
      </c>
      <c r="H144" s="37">
        <f t="shared" si="2"/>
        <v>2.8688890233812945</v>
      </c>
      <c r="I144" s="44">
        <v>9</v>
      </c>
      <c r="J144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0.2886167942777777</v>
      </c>
      <c r="K144" s="53">
        <f>Tabela25[[#This Row],[PREÇO PRATICADO]]*Tabela25[[#This Row],[LUCRO REAL %]]</f>
        <v>2.5975511484999991</v>
      </c>
      <c r="L144" s="24"/>
      <c r="M144" s="54">
        <f>IF(Tabela25[[#This Row],[QUANT. VENDA]]=0,0,((Tabela25[[#This Row],[CUSTO]]*Tabela25[[#This Row],[QUANT. VENDA]])/(Tabela25[[#This Row],[QUANT. VENDA]]*Tabela25[[#This Row],[PREÇO PRATICADO]])))</f>
        <v>0</v>
      </c>
      <c r="N144" s="39">
        <f>VLOOKUP(Tabela25[[#This Row],[CÓDIGO]],'[1]Estrutura Loja'!$B$3:$E$1825,4,0)</f>
        <v>1.7044488515000003</v>
      </c>
      <c r="O144" s="39">
        <f>Tabela25[[#This Row],[QUANT. VENDA]]*Tabela25[[#This Row],[PREÇO PRATICADO]]</f>
        <v>0</v>
      </c>
      <c r="P144" s="39">
        <f>Tabela25[[#This Row],[QUANT. VENDA]]*Tabela25[[#This Row],[CUSTO]]</f>
        <v>0</v>
      </c>
      <c r="Q144" s="55">
        <f>Tabela25[[#This Row],[CUSTO]]/Tabela25[[#This Row],[PREÇO PRATICADO]]</f>
        <v>0.18938320572222225</v>
      </c>
      <c r="R144" s="87"/>
      <c r="S144" s="87"/>
      <c r="T144" s="88"/>
      <c r="V144" s="86" t="s">
        <v>166</v>
      </c>
    </row>
    <row r="145" spans="1:20" s="86" customFormat="1" ht="14.25" customHeight="1" x14ac:dyDescent="0.3">
      <c r="A145" s="42">
        <v>100100053</v>
      </c>
      <c r="B145" s="28">
        <v>1001</v>
      </c>
      <c r="C145" s="34" t="s">
        <v>164</v>
      </c>
      <c r="D145" s="43" t="s">
        <v>167</v>
      </c>
      <c r="E145" s="44">
        <v>9</v>
      </c>
      <c r="F145" s="44">
        <v>10</v>
      </c>
      <c r="G145" s="21">
        <f>VLOOKUP(Tabela25[[#This Row],[CÓDIGO]],'[1]Estrutura Loja'!$B$3:$M$2941,5,0)</f>
        <v>6.495931120503597</v>
      </c>
      <c r="H145" s="37">
        <f t="shared" si="2"/>
        <v>2.504068879496403</v>
      </c>
      <c r="I145" s="44">
        <v>9</v>
      </c>
      <c r="J145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0.27734790538888882</v>
      </c>
      <c r="K145" s="53">
        <f>Tabela25[[#This Row],[PREÇO PRATICADO]]*Tabela25[[#This Row],[LUCRO REAL %]]</f>
        <v>2.4961311484999995</v>
      </c>
      <c r="L145" s="24"/>
      <c r="M145" s="54">
        <f>IF(Tabela25[[#This Row],[QUANT. VENDA]]=0,0,((Tabela25[[#This Row],[CUSTO]]*Tabela25[[#This Row],[QUANT. VENDA]])/(Tabela25[[#This Row],[QUANT. VENDA]]*Tabela25[[#This Row],[PREÇO PRATICADO]])))</f>
        <v>0</v>
      </c>
      <c r="N145" s="39">
        <f>VLOOKUP(Tabela25[[#This Row],[CÓDIGO]],'[1]Estrutura Loja'!$B$3:$E$1825,4,0)</f>
        <v>1.8058688515000001</v>
      </c>
      <c r="O145" s="39">
        <f>Tabela25[[#This Row],[QUANT. VENDA]]*Tabela25[[#This Row],[PREÇO PRATICADO]]</f>
        <v>0</v>
      </c>
      <c r="P145" s="39">
        <f>Tabela25[[#This Row],[QUANT. VENDA]]*Tabela25[[#This Row],[CUSTO]]</f>
        <v>0</v>
      </c>
      <c r="Q145" s="55">
        <f>Tabela25[[#This Row],[CUSTO]]/Tabela25[[#This Row],[PREÇO PRATICADO]]</f>
        <v>0.20065209461111111</v>
      </c>
      <c r="R145" s="87"/>
      <c r="S145" s="87"/>
      <c r="T145" s="88"/>
    </row>
    <row r="146" spans="1:20" s="86" customFormat="1" ht="14.25" customHeight="1" x14ac:dyDescent="0.3">
      <c r="A146" s="42">
        <v>100100050</v>
      </c>
      <c r="B146" s="28">
        <v>1001</v>
      </c>
      <c r="C146" s="34" t="s">
        <v>164</v>
      </c>
      <c r="D146" s="43" t="s">
        <v>168</v>
      </c>
      <c r="E146" s="44">
        <v>9</v>
      </c>
      <c r="F146" s="44">
        <v>10</v>
      </c>
      <c r="G146" s="21">
        <f>VLOOKUP(Tabela25[[#This Row],[CÓDIGO]],'[1]Estrutura Loja'!$B$3:$M$2941,5,0)</f>
        <v>6.4366882969406651</v>
      </c>
      <c r="H146" s="37">
        <f t="shared" si="2"/>
        <v>2.5633117030593349</v>
      </c>
      <c r="I146" s="44">
        <v>9</v>
      </c>
      <c r="J146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0.27917785038338827</v>
      </c>
      <c r="K146" s="53">
        <f>Tabela25[[#This Row],[PREÇO PRATICADO]]*Tabela25[[#This Row],[LUCRO REAL %]]</f>
        <v>2.5126006534504945</v>
      </c>
      <c r="L146" s="24"/>
      <c r="M146" s="54">
        <f>IF(Tabela25[[#This Row],[QUANT. VENDA]]=0,0,((Tabela25[[#This Row],[CUSTO]]*Tabela25[[#This Row],[QUANT. VENDA]])/(Tabela25[[#This Row],[QUANT. VENDA]]*Tabela25[[#This Row],[PREÇO PRATICADO]])))</f>
        <v>0</v>
      </c>
      <c r="N146" s="39">
        <f>VLOOKUP(Tabela25[[#This Row],[CÓDIGO]],'[1]Estrutura Loja'!$B$3:$E$1825,4,0)</f>
        <v>1.7893993465495051</v>
      </c>
      <c r="O146" s="39">
        <f>Tabela25[[#This Row],[QUANT. VENDA]]*Tabela25[[#This Row],[PREÇO PRATICADO]]</f>
        <v>0</v>
      </c>
      <c r="P146" s="39">
        <f>Tabela25[[#This Row],[QUANT. VENDA]]*Tabela25[[#This Row],[CUSTO]]</f>
        <v>0</v>
      </c>
      <c r="Q146" s="55">
        <f>Tabela25[[#This Row],[CUSTO]]/Tabela25[[#This Row],[PREÇO PRATICADO]]</f>
        <v>0.19882214961661168</v>
      </c>
      <c r="R146" s="87"/>
      <c r="S146" s="87"/>
      <c r="T146" s="88"/>
    </row>
    <row r="147" spans="1:20" s="86" customFormat="1" ht="14.25" customHeight="1" x14ac:dyDescent="0.3">
      <c r="A147" s="42">
        <v>100100038</v>
      </c>
      <c r="B147" s="28">
        <v>1001</v>
      </c>
      <c r="C147" s="28" t="str">
        <f>VLOOKUP(Tabela25[[#This Row],[GRUPO]],[1]Produto!H10:I359,2,0)</f>
        <v>Casquinha</v>
      </c>
      <c r="D147" s="43" t="s">
        <v>169</v>
      </c>
      <c r="E147" s="44">
        <v>9</v>
      </c>
      <c r="F147" s="44">
        <v>10</v>
      </c>
      <c r="G147" s="21">
        <f>VLOOKUP(Tabela25[[#This Row],[CÓDIGO]],'[1]Estrutura Loja'!$B$3:$M$2941,5,0)</f>
        <v>9.5171078291366911</v>
      </c>
      <c r="H147" s="37">
        <f t="shared" si="2"/>
        <v>-0.51710782913669107</v>
      </c>
      <c r="I147" s="44">
        <v>9</v>
      </c>
      <c r="J147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0.18402711372222214</v>
      </c>
      <c r="K147" s="53">
        <f>Tabela25[[#This Row],[PREÇO PRATICADO]]*Tabela25[[#This Row],[LUCRO REAL %]]</f>
        <v>1.6562440234999993</v>
      </c>
      <c r="L147" s="24"/>
      <c r="M147" s="54">
        <f>IF(Tabela25[[#This Row],[QUANT. VENDA]]=0,0,((Tabela25[[#This Row],[CUSTO]]*Tabela25[[#This Row],[QUANT. VENDA]])/(Tabela25[[#This Row],[QUANT. VENDA]]*Tabela25[[#This Row],[PREÇO PRATICADO]])))</f>
        <v>0</v>
      </c>
      <c r="N147" s="39">
        <f>VLOOKUP(Tabela25[[#This Row],[CÓDIGO]],'[1]Estrutura Loja'!$B$3:$E$1825,4,0)</f>
        <v>2.6457559765000003</v>
      </c>
      <c r="O147" s="39">
        <f>Tabela25[[#This Row],[QUANT. VENDA]]*Tabela25[[#This Row],[PREÇO PRATICADO]]</f>
        <v>0</v>
      </c>
      <c r="P147" s="39">
        <f>Tabela25[[#This Row],[QUANT. VENDA]]*Tabela25[[#This Row],[CUSTO]]</f>
        <v>0</v>
      </c>
      <c r="Q147" s="55">
        <f>Tabela25[[#This Row],[CUSTO]]/Tabela25[[#This Row],[PREÇO PRATICADO]]</f>
        <v>0.29397288627777779</v>
      </c>
      <c r="R147" s="87"/>
      <c r="S147" s="87"/>
      <c r="T147" s="88"/>
    </row>
    <row r="148" spans="1:20" s="86" customFormat="1" ht="14.25" customHeight="1" x14ac:dyDescent="0.3">
      <c r="A148" s="42">
        <v>100100044</v>
      </c>
      <c r="B148" s="28">
        <v>1001</v>
      </c>
      <c r="C148" s="34" t="s">
        <v>164</v>
      </c>
      <c r="D148" s="43" t="s">
        <v>170</v>
      </c>
      <c r="E148" s="44">
        <v>9</v>
      </c>
      <c r="F148" s="44">
        <v>10</v>
      </c>
      <c r="G148" s="21">
        <f>VLOOKUP(Tabela25[[#This Row],[CÓDIGO]],'[1]Estrutura Loja'!$B$3:$M$2941,5,0)</f>
        <v>9.8819279730215825</v>
      </c>
      <c r="H148" s="37">
        <f t="shared" si="2"/>
        <v>-0.88192797302158255</v>
      </c>
      <c r="I148" s="44">
        <v>9</v>
      </c>
      <c r="J148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0.17275822483333325</v>
      </c>
      <c r="K148" s="53">
        <f>Tabela25[[#This Row],[PREÇO PRATICADO]]*Tabela25[[#This Row],[LUCRO REAL %]]</f>
        <v>1.5548240234999993</v>
      </c>
      <c r="L148" s="24"/>
      <c r="M148" s="54">
        <f>IF(Tabela25[[#This Row],[QUANT. VENDA]]=0,0,((Tabela25[[#This Row],[CUSTO]]*Tabela25[[#This Row],[QUANT. VENDA]])/(Tabela25[[#This Row],[QUANT. VENDA]]*Tabela25[[#This Row],[PREÇO PRATICADO]])))</f>
        <v>0</v>
      </c>
      <c r="N148" s="39">
        <f>VLOOKUP(Tabela25[[#This Row],[CÓDIGO]],'[1]Estrutura Loja'!$B$3:$E$1825,4,0)</f>
        <v>2.7471759765000003</v>
      </c>
      <c r="O148" s="39">
        <f>Tabela25[[#This Row],[QUANT. VENDA]]*Tabela25[[#This Row],[PREÇO PRATICADO]]</f>
        <v>0</v>
      </c>
      <c r="P148" s="39">
        <f>Tabela25[[#This Row],[QUANT. VENDA]]*Tabela25[[#This Row],[CUSTO]]</f>
        <v>0</v>
      </c>
      <c r="Q148" s="55">
        <f>Tabela25[[#This Row],[CUSTO]]/Tabela25[[#This Row],[PREÇO PRATICADO]]</f>
        <v>0.30524177516666673</v>
      </c>
      <c r="R148" s="87"/>
      <c r="S148" s="87"/>
      <c r="T148" s="88"/>
    </row>
    <row r="149" spans="1:20" s="86" customFormat="1" ht="14.25" customHeight="1" x14ac:dyDescent="0.3">
      <c r="A149" s="42">
        <v>100100041</v>
      </c>
      <c r="B149" s="28">
        <v>1001</v>
      </c>
      <c r="C149" s="34" t="s">
        <v>164</v>
      </c>
      <c r="D149" s="43" t="s">
        <v>171</v>
      </c>
      <c r="E149" s="44">
        <v>9</v>
      </c>
      <c r="F149" s="44">
        <v>10</v>
      </c>
      <c r="G149" s="21">
        <f>VLOOKUP(Tabela25[[#This Row],[CÓDIGO]],'[1]Estrutura Loja'!$B$3:$M$2941,5,0)</f>
        <v>9.8226851494586516</v>
      </c>
      <c r="H149" s="37">
        <f t="shared" si="2"/>
        <v>-0.82268514945865157</v>
      </c>
      <c r="I149" s="44">
        <v>9</v>
      </c>
      <c r="J149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0.17458816982783271</v>
      </c>
      <c r="K149" s="53">
        <f>Tabela25[[#This Row],[PREÇO PRATICADO]]*Tabela25[[#This Row],[LUCRO REAL %]]</f>
        <v>1.5712935284504943</v>
      </c>
      <c r="L149" s="24"/>
      <c r="M149" s="54">
        <f>IF(Tabela25[[#This Row],[QUANT. VENDA]]=0,0,((Tabela25[[#This Row],[CUSTO]]*Tabela25[[#This Row],[QUANT. VENDA]])/(Tabela25[[#This Row],[QUANT. VENDA]]*Tabela25[[#This Row],[PREÇO PRATICADO]])))</f>
        <v>0</v>
      </c>
      <c r="N149" s="39">
        <f>VLOOKUP(Tabela25[[#This Row],[CÓDIGO]],'[1]Estrutura Loja'!$B$3:$E$1825,4,0)</f>
        <v>2.7307064715495053</v>
      </c>
      <c r="O149" s="39">
        <f>Tabela25[[#This Row],[QUANT. VENDA]]*Tabela25[[#This Row],[PREÇO PRATICADO]]</f>
        <v>0</v>
      </c>
      <c r="P149" s="39">
        <f>Tabela25[[#This Row],[QUANT. VENDA]]*Tabela25[[#This Row],[CUSTO]]</f>
        <v>0</v>
      </c>
      <c r="Q149" s="55">
        <f>Tabela25[[#This Row],[CUSTO]]/Tabela25[[#This Row],[PREÇO PRATICADO]]</f>
        <v>0.30341183017216727</v>
      </c>
      <c r="R149" s="87"/>
      <c r="S149" s="87"/>
      <c r="T149" s="88"/>
    </row>
    <row r="150" spans="1:20" s="86" customFormat="1" ht="14.25" customHeight="1" x14ac:dyDescent="0.3">
      <c r="A150" s="42">
        <v>100100032</v>
      </c>
      <c r="B150" s="28">
        <v>1001</v>
      </c>
      <c r="C150" s="28" t="str">
        <f>VLOOKUP(Tabela25[[#This Row],[GRUPO]],[1]Produto!H9:I358,2,0)</f>
        <v>Casquinha</v>
      </c>
      <c r="D150" s="43" t="s">
        <v>172</v>
      </c>
      <c r="E150" s="44">
        <v>9</v>
      </c>
      <c r="F150" s="44">
        <v>10</v>
      </c>
      <c r="G150" s="21">
        <f>VLOOKUP(Tabela25[[#This Row],[CÓDIGO]],'[1]Estrutura Loja'!$B$3:$M$2941,5,0)</f>
        <v>8.9179903231414848</v>
      </c>
      <c r="H150" s="37">
        <f t="shared" si="2"/>
        <v>8.2009676858515235E-2</v>
      </c>
      <c r="I150" s="44">
        <v>9</v>
      </c>
      <c r="J15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0.20253318779629628</v>
      </c>
      <c r="K150" s="46">
        <f>Tabela25[[#This Row],[PREÇO PRATICADO]]*Tabela25[[#This Row],[LUCRO REAL %]]</f>
        <v>1.8227986901666666</v>
      </c>
      <c r="L150" s="24"/>
      <c r="M150" s="54">
        <f>IF(Tabela25[[#This Row],[QUANT. VENDA]]=0,0,((Tabela25[[#This Row],[CUSTO]]*Tabela25[[#This Row],[QUANT. VENDA]])/(Tabela25[[#This Row],[QUANT. VENDA]]*Tabela25[[#This Row],[PREÇO PRATICADO]])))</f>
        <v>0</v>
      </c>
      <c r="N150" s="39">
        <f>VLOOKUP(Tabela25[[#This Row],[CÓDIGO]],'[1]Estrutura Loja'!$B$3:$E$1825,4,0)</f>
        <v>2.479201309833333</v>
      </c>
      <c r="O150" s="39">
        <f>Tabela25[[#This Row],[QUANT. VENDA]]*Tabela25[[#This Row],[PREÇO PRATICADO]]</f>
        <v>0</v>
      </c>
      <c r="P150" s="39">
        <f>Tabela25[[#This Row],[QUANT. VENDA]]*Tabela25[[#This Row],[CUSTO]]</f>
        <v>0</v>
      </c>
      <c r="Q150" s="49">
        <f>Tabela25[[#This Row],[CUSTO]]/Tabela25[[#This Row],[PREÇO PRATICADO]]</f>
        <v>0.27546681220370367</v>
      </c>
      <c r="R150" s="87"/>
      <c r="S150" s="87"/>
      <c r="T150" s="88"/>
    </row>
    <row r="151" spans="1:20" s="86" customFormat="1" ht="14.25" customHeight="1" x14ac:dyDescent="0.3">
      <c r="A151" s="42">
        <v>100100028</v>
      </c>
      <c r="B151" s="28">
        <v>1001</v>
      </c>
      <c r="C151" s="28" t="str">
        <f>VLOOKUP(Tabela25[[#This Row],[GRUPO]],[1]Produto!H8:I357,2,0)</f>
        <v>Casquinha</v>
      </c>
      <c r="D151" s="43" t="s">
        <v>173</v>
      </c>
      <c r="E151" s="44">
        <v>9</v>
      </c>
      <c r="F151" s="44">
        <v>10</v>
      </c>
      <c r="G151" s="21">
        <f>VLOOKUP(Tabela25[[#This Row],[CÓDIGO]],'[1]Estrutura Loja'!$B$3:$M$2941,5,0)</f>
        <v>7.0385990932682425</v>
      </c>
      <c r="H151" s="45">
        <f t="shared" si="2"/>
        <v>1.9614009067317575</v>
      </c>
      <c r="I151" s="44">
        <v>9</v>
      </c>
      <c r="J15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0.26058549467460312</v>
      </c>
      <c r="K151" s="46">
        <f>Tabela25[[#This Row],[PREÇO PRATICADO]]*Tabela25[[#This Row],[LUCRO REAL %]]</f>
        <v>2.3452694520714283</v>
      </c>
      <c r="L151" s="24"/>
      <c r="M151" s="54">
        <f>IF(Tabela25[[#This Row],[QUANT. VENDA]]=0,0,((Tabela25[[#This Row],[CUSTO]]*Tabela25[[#This Row],[QUANT. VENDA]])/(Tabela25[[#This Row],[QUANT. VENDA]]*Tabela25[[#This Row],[PREÇO PRATICADO]])))</f>
        <v>0</v>
      </c>
      <c r="N151" s="48">
        <f>VLOOKUP(Tabela25[[#This Row],[CÓDIGO]],'[1]Estrutura Loja'!$B$3:$E$1825,4,0)</f>
        <v>1.9567305479285715</v>
      </c>
      <c r="O151" s="48">
        <f>Tabela25[[#This Row],[QUANT. VENDA]]*Tabela25[[#This Row],[PREÇO PRATICADO]]</f>
        <v>0</v>
      </c>
      <c r="P151" s="48">
        <f>Tabela25[[#This Row],[QUANT. VENDA]]*Tabela25[[#This Row],[CUSTO]]</f>
        <v>0</v>
      </c>
      <c r="Q151" s="49">
        <f>Tabela25[[#This Row],[CUSTO]]/Tabela25[[#This Row],[PREÇO PRATICADO]]</f>
        <v>0.21741450532539683</v>
      </c>
      <c r="R151" s="87"/>
      <c r="S151" s="87"/>
      <c r="T151" s="88"/>
    </row>
    <row r="152" spans="1:20" s="86" customFormat="1" ht="14.25" customHeight="1" x14ac:dyDescent="0.3">
      <c r="A152" s="66">
        <v>100100054</v>
      </c>
      <c r="B152" s="28">
        <v>1001</v>
      </c>
      <c r="C152" s="34" t="s">
        <v>164</v>
      </c>
      <c r="D152" s="51" t="s">
        <v>174</v>
      </c>
      <c r="E152" s="36">
        <v>15</v>
      </c>
      <c r="F152" s="36">
        <v>18</v>
      </c>
      <c r="G152" s="37">
        <f>VLOOKUP(Tabela25[[#This Row],[CÓDIGO]],'[1]Estrutura Loja'!$B$3:$M$2941,5,0)</f>
        <v>14.324424375899278</v>
      </c>
      <c r="H152" s="37">
        <f t="shared" si="2"/>
        <v>0.67557562410072158</v>
      </c>
      <c r="I152" s="36">
        <v>15</v>
      </c>
      <c r="J152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0.21252066823333332</v>
      </c>
      <c r="K152" s="53">
        <f>Tabela25[[#This Row],[PREÇO PRATICADO]]*Tabela25[[#This Row],[LUCRO REAL %]]</f>
        <v>3.1878100235</v>
      </c>
      <c r="L152" s="38"/>
      <c r="M152" s="67">
        <f>IF(Tabela25[[#This Row],[QUANT. VENDA]]=0,0,((Tabela25[[#This Row],[CUSTO]]*Tabela25[[#This Row],[QUANT. VENDA]])/(Tabela25[[#This Row],[QUANT. VENDA]]*Tabela25[[#This Row],[PREÇO PRATICADO]])))</f>
        <v>0</v>
      </c>
      <c r="N152" s="39">
        <f>VLOOKUP(Tabela25[[#This Row],[CÓDIGO]],'[1]Estrutura Loja'!$B$3:$E$1825,4,0)</f>
        <v>3.9821899765</v>
      </c>
      <c r="O152" s="39">
        <f>Tabela25[[#This Row],[QUANT. VENDA]]*Tabela25[[#This Row],[PREÇO PRATICADO]]</f>
        <v>0</v>
      </c>
      <c r="P152" s="39">
        <f>Tabela25[[#This Row],[QUANT. VENDA]]*Tabela25[[#This Row],[CUSTO]]</f>
        <v>0</v>
      </c>
      <c r="Q152" s="55">
        <f>Tabela25[[#This Row],[CUSTO]]/Tabela25[[#This Row],[PREÇO PRATICADO]]</f>
        <v>0.26547933176666666</v>
      </c>
      <c r="R152" s="87"/>
      <c r="S152" s="87"/>
      <c r="T152" s="88"/>
    </row>
    <row r="153" spans="1:20" s="86" customFormat="1" ht="14.25" customHeight="1" x14ac:dyDescent="0.3">
      <c r="A153" s="42">
        <v>101000002</v>
      </c>
      <c r="B153" s="28">
        <v>1010</v>
      </c>
      <c r="C153" s="28" t="str">
        <f>VLOOKUP(Tabela25[[#This Row],[GRUPO]],[1]Produto!H135:I504,2,0)</f>
        <v>Cream Tasty</v>
      </c>
      <c r="D153" s="43" t="s">
        <v>175</v>
      </c>
      <c r="E153" s="44">
        <v>17</v>
      </c>
      <c r="F153" s="44">
        <v>19</v>
      </c>
      <c r="G153" s="21">
        <f>VLOOKUP(Tabela25[[#This Row],[CÓDIGO]],'[1]Estrutura Loja'!$B$3:$M$2941,5,0)</f>
        <v>18.052292767447842</v>
      </c>
      <c r="H153" s="45">
        <f t="shared" si="2"/>
        <v>-1.0522927674478417</v>
      </c>
      <c r="I153" s="44">
        <v>17</v>
      </c>
      <c r="J15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0.18279191827349994</v>
      </c>
      <c r="K153" s="46">
        <f>Tabela25[[#This Row],[PREÇO PRATICADO]]*Tabela25[[#This Row],[LUCRO REAL %]]</f>
        <v>3.1074626106494989</v>
      </c>
      <c r="L153" s="24"/>
      <c r="M153" s="54">
        <f>IF(Tabela25[[#This Row],[QUANT. VENDA]]=0,0,((Tabela25[[#This Row],[CUSTO]]*Tabela25[[#This Row],[QUANT. VENDA]])/(Tabela25[[#This Row],[QUANT. VENDA]]*Tabela25[[#This Row],[PREÇO PRATICADO]])))</f>
        <v>0</v>
      </c>
      <c r="N153" s="48">
        <f>VLOOKUP(Tabela25[[#This Row],[CÓDIGO]],'[1]Estrutura Loja'!$B$3:$E$1825,4,0)</f>
        <v>5.0185373893505005</v>
      </c>
      <c r="O153" s="48">
        <f>Tabela25[[#This Row],[QUANT. VENDA]]*Tabela25[[#This Row],[PREÇO PRATICADO]]</f>
        <v>0</v>
      </c>
      <c r="P153" s="48">
        <f>Tabela25[[#This Row],[QUANT. VENDA]]*Tabela25[[#This Row],[CUSTO]]</f>
        <v>0</v>
      </c>
      <c r="Q153" s="49">
        <f>Tabela25[[#This Row],[CUSTO]]/Tabela25[[#This Row],[PREÇO PRATICADO]]</f>
        <v>0.29520808172650004</v>
      </c>
      <c r="R153" s="87"/>
      <c r="S153" s="87"/>
      <c r="T153" s="88"/>
    </row>
    <row r="154" spans="1:20" s="86" customFormat="1" ht="13.2" customHeight="1" x14ac:dyDescent="0.3">
      <c r="A154" s="42">
        <v>101000003</v>
      </c>
      <c r="B154" s="28">
        <v>1010</v>
      </c>
      <c r="C154" s="28" t="str">
        <f>VLOOKUP(Tabela25[[#This Row],[GRUPO]],[1]Produto!H135:I505,2,0)</f>
        <v>Cream Tasty</v>
      </c>
      <c r="D154" s="43" t="s">
        <v>176</v>
      </c>
      <c r="E154" s="44">
        <v>17</v>
      </c>
      <c r="F154" s="44">
        <v>19</v>
      </c>
      <c r="G154" s="21">
        <f>VLOOKUP(Tabela25[[#This Row],[CÓDIGO]],'[1]Estrutura Loja'!$B$3:$M$2941,5,0)</f>
        <v>17.35872372024658</v>
      </c>
      <c r="H154" s="45">
        <f t="shared" si="2"/>
        <v>-0.35872372024658006</v>
      </c>
      <c r="I154" s="44">
        <v>17</v>
      </c>
      <c r="J15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0.19413381210420291</v>
      </c>
      <c r="K154" s="46">
        <f>Tabela25[[#This Row],[PREÇO PRATICADO]]*Tabela25[[#This Row],[LUCRO REAL %]]</f>
        <v>3.3002748057714495</v>
      </c>
      <c r="L154" s="24"/>
      <c r="M154" s="54">
        <f>IF(Tabela25[[#This Row],[QUANT. VENDA]]=0,0,((Tabela25[[#This Row],[CUSTO]]*Tabela25[[#This Row],[QUANT. VENDA]])/(Tabela25[[#This Row],[QUANT. VENDA]]*Tabela25[[#This Row],[PREÇO PRATICADO]])))</f>
        <v>0</v>
      </c>
      <c r="N154" s="48">
        <f>VLOOKUP(Tabela25[[#This Row],[CÓDIGO]],'[1]Estrutura Loja'!$B$3:$E$1825,4,0)</f>
        <v>4.82572519422855</v>
      </c>
      <c r="O154" s="48">
        <f>Tabela25[[#This Row],[QUANT. VENDA]]*Tabela25[[#This Row],[PREÇO PRATICADO]]</f>
        <v>0</v>
      </c>
      <c r="P154" s="48">
        <f>Tabela25[[#This Row],[QUANT. VENDA]]*Tabela25[[#This Row],[CUSTO]]</f>
        <v>0</v>
      </c>
      <c r="Q154" s="49">
        <f>Tabela25[[#This Row],[CUSTO]]/Tabela25[[#This Row],[PREÇO PRATICADO]]</f>
        <v>0.28386618789579704</v>
      </c>
      <c r="R154" s="87"/>
      <c r="S154" s="87"/>
      <c r="T154" s="88"/>
    </row>
    <row r="155" spans="1:20" s="86" customFormat="1" ht="14.25" customHeight="1" x14ac:dyDescent="0.3">
      <c r="A155" s="85">
        <v>101000005</v>
      </c>
      <c r="B155" s="28">
        <v>1010</v>
      </c>
      <c r="C155" s="28" t="str">
        <f>VLOOKUP(Tabela25[[#This Row],[GRUPO]],[1]Produto!H136:I506,2,0)</f>
        <v>Cream Tasty</v>
      </c>
      <c r="D155" s="43" t="s">
        <v>177</v>
      </c>
      <c r="E155" s="44">
        <v>17</v>
      </c>
      <c r="F155" s="44">
        <v>19</v>
      </c>
      <c r="G155" s="21">
        <f>VLOOKUP(Tabela25[[#This Row],[CÓDIGO]],'[1]Estrutura Loja'!$B$3:$M$2941,5,0)</f>
        <v>17.35872372024658</v>
      </c>
      <c r="H155" s="45">
        <f t="shared" si="2"/>
        <v>-0.35872372024658006</v>
      </c>
      <c r="I155" s="44">
        <v>17</v>
      </c>
      <c r="J15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0.19413381210420291</v>
      </c>
      <c r="K155" s="46">
        <f>Tabela25[[#This Row],[PREÇO PRATICADO]]*Tabela25[[#This Row],[LUCRO REAL %]]</f>
        <v>3.3002748057714495</v>
      </c>
      <c r="L155" s="24"/>
      <c r="M155" s="54">
        <f>IF(Tabela25[[#This Row],[QUANT. VENDA]]=0,0,((Tabela25[[#This Row],[CUSTO]]*Tabela25[[#This Row],[QUANT. VENDA]])/(Tabela25[[#This Row],[QUANT. VENDA]]*Tabela25[[#This Row],[PREÇO PRATICADO]])))</f>
        <v>0</v>
      </c>
      <c r="N155" s="48">
        <f>VLOOKUP(Tabela25[[#This Row],[CÓDIGO]],'[1]Estrutura Loja'!$B$3:$E$1825,4,0)</f>
        <v>4.82572519422855</v>
      </c>
      <c r="O155" s="48">
        <f>Tabela25[[#This Row],[QUANT. VENDA]]*Tabela25[[#This Row],[PREÇO PRATICADO]]</f>
        <v>0</v>
      </c>
      <c r="P155" s="48">
        <f>Tabela25[[#This Row],[QUANT. VENDA]]*Tabela25[[#This Row],[CUSTO]]</f>
        <v>0</v>
      </c>
      <c r="Q155" s="49">
        <f>Tabela25[[#This Row],[CUSTO]]/Tabela25[[#This Row],[PREÇO PRATICADO]]</f>
        <v>0.28386618789579704</v>
      </c>
      <c r="R155" s="87"/>
      <c r="S155" s="87"/>
      <c r="T155" s="88"/>
    </row>
    <row r="156" spans="1:20" s="86" customFormat="1" ht="14.25" customHeight="1" x14ac:dyDescent="0.3">
      <c r="A156" s="89">
        <v>102000001</v>
      </c>
      <c r="B156" s="18">
        <v>1020</v>
      </c>
      <c r="C156" s="28" t="str">
        <f>VLOOKUP(Tabela25[[#This Row],[GRUPO]],[1]Produto!H181:I550,2,0)</f>
        <v>Ed. Limitada</v>
      </c>
      <c r="D156" s="90" t="s">
        <v>178</v>
      </c>
      <c r="E156" s="20">
        <v>15</v>
      </c>
      <c r="F156" s="20">
        <v>16</v>
      </c>
      <c r="G156" s="21">
        <f>VLOOKUP(Tabela25[[#This Row],[CÓDIGO]],'[1]Estrutura Loja'!$B$3:$M$2941,5,0)</f>
        <v>15.02321501798561</v>
      </c>
      <c r="H156" s="37">
        <f t="shared" si="2"/>
        <v>-2.3215017985609876E-2</v>
      </c>
      <c r="I156" s="20">
        <v>15</v>
      </c>
      <c r="J15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0.19956974833333335</v>
      </c>
      <c r="K156" s="53">
        <f>Tabela25[[#This Row],[PREÇO PRATICADO]]*Tabela25[[#This Row],[LUCRO REAL %]]</f>
        <v>2.9935462250000002</v>
      </c>
      <c r="L156" s="24"/>
      <c r="M156" s="54">
        <f>IF(Tabela25[[#This Row],[QUANT. VENDA]]=0,0,((Tabela25[[#This Row],[CUSTO]]*Tabela25[[#This Row],[QUANT. VENDA]])/(Tabela25[[#This Row],[QUANT. VENDA]]*Tabela25[[#This Row],[PREÇO PRATICADO]])))</f>
        <v>0</v>
      </c>
      <c r="N156" s="26">
        <f>VLOOKUP(Tabela25[[#This Row],[CÓDIGO]],'[1]Estrutura Loja'!$B$3:$E$1825,4,0)</f>
        <v>4.1764537749999997</v>
      </c>
      <c r="O156" s="26">
        <f>Tabela25[[#This Row],[QUANT. VENDA]]*Tabela25[[#This Row],[PREÇO PRATICADO]]</f>
        <v>0</v>
      </c>
      <c r="P156" s="26">
        <f>Tabela25[[#This Row],[QUANT. VENDA]]*Tabela25[[#This Row],[CUSTO]]</f>
        <v>0</v>
      </c>
      <c r="Q156" s="27">
        <f>Tabela25[[#This Row],[CUSTO]]/Tabela25[[#This Row],[PREÇO PRATICADO]]</f>
        <v>0.27843025166666663</v>
      </c>
      <c r="R156" s="87"/>
      <c r="S156" s="87"/>
      <c r="T156" s="88"/>
    </row>
    <row r="157" spans="1:20" s="86" customFormat="1" ht="14.25" customHeight="1" x14ac:dyDescent="0.3">
      <c r="A157" s="89">
        <v>102000002</v>
      </c>
      <c r="B157" s="28">
        <v>1020</v>
      </c>
      <c r="C157" s="28" t="str">
        <f>VLOOKUP(Tabela25[[#This Row],[GRUPO]],[1]Produto!H182:I551,2,0)</f>
        <v>Ed. Limitada</v>
      </c>
      <c r="D157" s="43" t="s">
        <v>179</v>
      </c>
      <c r="E157" s="36">
        <v>15</v>
      </c>
      <c r="F157" s="36">
        <v>16</v>
      </c>
      <c r="G157" s="21">
        <f>VLOOKUP(Tabela25[[#This Row],[CÓDIGO]],'[1]Estrutura Loja'!$B$3:$M$2941,5,0)</f>
        <v>16.602201706946943</v>
      </c>
      <c r="H157" s="37">
        <f t="shared" si="2"/>
        <v>-1.6022017069469427</v>
      </c>
      <c r="I157" s="36">
        <v>15</v>
      </c>
      <c r="J15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0.17030586169791662</v>
      </c>
      <c r="K157" s="67">
        <f>Tabela25[[#This Row],[PREÇO PRATICADO]]*Tabela25[[#This Row],[LUCRO REAL %]]</f>
        <v>2.5545879254687494</v>
      </c>
      <c r="L157" s="24"/>
      <c r="M157" s="54">
        <f>IF(Tabela25[[#This Row],[QUANT. VENDA]]=0,0,((Tabela25[[#This Row],[CUSTO]]*Tabela25[[#This Row],[QUANT. VENDA]])/(Tabela25[[#This Row],[QUANT. VENDA]]*Tabela25[[#This Row],[PREÇO PRATICADO]])))</f>
        <v>0</v>
      </c>
      <c r="N157" s="39">
        <f>VLOOKUP(Tabela25[[#This Row],[CÓDIGO]],'[1]Estrutura Loja'!$B$3:$E$1825,4,0)</f>
        <v>4.6154120745312506</v>
      </c>
      <c r="O157" s="39">
        <f>Tabela25[[#This Row],[QUANT. VENDA]]*Tabela25[[#This Row],[PREÇO PRATICADO]]</f>
        <v>0</v>
      </c>
      <c r="P157" s="39">
        <f>Tabela25[[#This Row],[QUANT. VENDA]]*Tabela25[[#This Row],[CUSTO]]</f>
        <v>0</v>
      </c>
      <c r="Q157" s="49">
        <f>Tabela25[[#This Row],[CUSTO]]/Tabela25[[#This Row],[PREÇO PRATICADO]]</f>
        <v>0.30769413830208336</v>
      </c>
      <c r="R157" s="87"/>
      <c r="S157" s="87"/>
      <c r="T157" s="88"/>
    </row>
    <row r="158" spans="1:20" s="86" customFormat="1" ht="14.25" customHeight="1" x14ac:dyDescent="0.3">
      <c r="A158" s="89">
        <v>102000003</v>
      </c>
      <c r="B158" s="28">
        <v>1020</v>
      </c>
      <c r="C158" s="28" t="str">
        <f>VLOOKUP(Tabela25[[#This Row],[GRUPO]],[1]Produto!H171:I542,2,0)</f>
        <v>Ed. Limitada</v>
      </c>
      <c r="D158" s="43" t="s">
        <v>180</v>
      </c>
      <c r="E158" s="36">
        <v>18</v>
      </c>
      <c r="F158" s="36">
        <v>20</v>
      </c>
      <c r="G158" s="21">
        <f>VLOOKUP(Tabela25[[#This Row],[CÓDIGO]],'[1]Estrutura Loja'!$B$3:$M$2941,5,0)</f>
        <v>17.723411042603416</v>
      </c>
      <c r="H158" s="37">
        <f t="shared" si="2"/>
        <v>0.27658895739658362</v>
      </c>
      <c r="I158" s="36">
        <v>18</v>
      </c>
      <c r="J15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0.20427176278645826</v>
      </c>
      <c r="K158" s="67">
        <f>Tabela25[[#This Row],[PREÇO PRATICADO]]*Tabela25[[#This Row],[LUCRO REAL %]]</f>
        <v>3.6768917301562487</v>
      </c>
      <c r="L158" s="24"/>
      <c r="M158" s="54">
        <f>IF(Tabela25[[#This Row],[QUANT. VENDA]]=0,0,((Tabela25[[#This Row],[CUSTO]]*Tabela25[[#This Row],[QUANT. VENDA]])/(Tabela25[[#This Row],[QUANT. VENDA]]*Tabela25[[#This Row],[PREÇO PRATICADO]])))</f>
        <v>0</v>
      </c>
      <c r="N158" s="39">
        <f>VLOOKUP(Tabela25[[#This Row],[CÓDIGO]],'[1]Estrutura Loja'!$B$3:$E$1825,4,0)</f>
        <v>4.9271082698437505</v>
      </c>
      <c r="O158" s="39">
        <f>Tabela25[[#This Row],[QUANT. VENDA]]*Tabela25[[#This Row],[PREÇO PRATICADO]]</f>
        <v>0</v>
      </c>
      <c r="P158" s="39">
        <f>Tabela25[[#This Row],[QUANT. VENDA]]*Tabela25[[#This Row],[CUSTO]]</f>
        <v>0</v>
      </c>
      <c r="Q158" s="55">
        <f>Tabela25[[#This Row],[CUSTO]]/Tabela25[[#This Row],[PREÇO PRATICADO]]</f>
        <v>0.27372823721354167</v>
      </c>
      <c r="R158" s="87"/>
      <c r="S158" s="87"/>
      <c r="T158" s="88"/>
    </row>
    <row r="159" spans="1:20" s="86" customFormat="1" ht="14.25" customHeight="1" x14ac:dyDescent="0.3">
      <c r="A159" s="89">
        <v>102000004</v>
      </c>
      <c r="B159" s="28">
        <v>1020</v>
      </c>
      <c r="C159" s="34" t="str">
        <f>VLOOKUP(Tabela25[[#This Row],[GRUPO]],[1]Produto!H150:I506,2,0)</f>
        <v>Ed. Limitada</v>
      </c>
      <c r="D159" s="51" t="s">
        <v>181</v>
      </c>
      <c r="E159" s="36">
        <v>15</v>
      </c>
      <c r="F159" s="36">
        <v>16</v>
      </c>
      <c r="G159" s="37">
        <f>VLOOKUP(Tabela25[[#This Row],[CÓDIGO]],'[1]Estrutura Loja'!$B$3:$M$2941,5,0)</f>
        <v>15.016237050181637</v>
      </c>
      <c r="H159" s="37">
        <f t="shared" si="2"/>
        <v>-1.6237050181636903E-2</v>
      </c>
      <c r="I159" s="36">
        <v>15</v>
      </c>
      <c r="J159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0.19969907333663361</v>
      </c>
      <c r="K159" s="53">
        <f>Tabela25[[#This Row],[PREÇO PRATICADO]]*Tabela25[[#This Row],[LUCRO REAL %]]</f>
        <v>2.9954861000495043</v>
      </c>
      <c r="L159" s="38"/>
      <c r="M159" s="54">
        <f>IF(Tabela25[[#This Row],[QUANT. VENDA]]=0,0,((Tabela25[[#This Row],[CUSTO]]*Tabela25[[#This Row],[QUANT. VENDA]])/(Tabela25[[#This Row],[QUANT. VENDA]]*Tabela25[[#This Row],[PREÇO PRATICADO]])))</f>
        <v>0</v>
      </c>
      <c r="N159" s="39">
        <f>VLOOKUP(Tabela25[[#This Row],[CÓDIGO]],'[1]Estrutura Loja'!$B$3:$E$1825,4,0)</f>
        <v>4.1745138999504956</v>
      </c>
      <c r="O159" s="39">
        <f>Tabela25[[#This Row],[QUANT. VENDA]]*Tabela25[[#This Row],[PREÇO PRATICADO]]</f>
        <v>0</v>
      </c>
      <c r="P159" s="39">
        <f>Tabela25[[#This Row],[QUANT. VENDA]]*Tabela25[[#This Row],[CUSTO]]</f>
        <v>0</v>
      </c>
      <c r="Q159" s="55">
        <f>Tabela25[[#This Row],[CUSTO]]/Tabela25[[#This Row],[PREÇO PRATICADO]]</f>
        <v>0.27830092666336637</v>
      </c>
      <c r="R159" s="87"/>
      <c r="S159" s="87"/>
      <c r="T159" s="88"/>
    </row>
    <row r="160" spans="1:20" s="86" customFormat="1" ht="14.25" customHeight="1" x14ac:dyDescent="0.3">
      <c r="A160" s="85">
        <v>102000010</v>
      </c>
      <c r="B160" s="28">
        <v>1020</v>
      </c>
      <c r="C160" s="28" t="str">
        <f>VLOOKUP(Tabela25[[#This Row],[GRUPO]],[1]Produto!H169:I536,2,0)</f>
        <v>Ed. Limitada</v>
      </c>
      <c r="D160" s="43" t="s">
        <v>182</v>
      </c>
      <c r="E160" s="36">
        <v>22</v>
      </c>
      <c r="F160" s="36">
        <v>25</v>
      </c>
      <c r="G160" s="21">
        <f>VLOOKUP(Tabela25[[#This Row],[CÓDIGO]],'[1]Estrutura Loja'!$B$3:$M$2941,5,0)</f>
        <v>22.286648926500089</v>
      </c>
      <c r="H160" s="37">
        <f t="shared" si="2"/>
        <v>-0.28664892650008866</v>
      </c>
      <c r="I160" s="36">
        <v>22</v>
      </c>
      <c r="J160" s="22">
        <f>(Tabela25[[#This Row],[PREÇO PRATICADO]]-((Tabela25[[#This Row],[PREÇO PRATICADO]]-'[1]Estrutura Loja'!$J$1710)*([1]Informações!$H$6+[1]Informações!$H$15+[1]Informações!$H$19+[1]Informações!$H$20))-Tabela25[[#This Row],[CUSTO]])/(Tabela25[[#This Row],[PREÇO PRATICADO]]-'[1]Estrutura Loja'!$J$1710)</f>
        <v>0.19186195870372627</v>
      </c>
      <c r="K160" s="67">
        <f>(Tabela25[[#This Row],[PREÇO PRATICADO]]-'[1]Estrutura Loja'!$J$1710)*Tabela25[[#This Row],[LUCRO REAL %]]</f>
        <v>1.8787288309312196</v>
      </c>
      <c r="L160" s="24"/>
      <c r="M160" s="54">
        <f>IF(Tabela25[[#This Row],[QUANT. VENDA]]=0,0,((Tabela25[[#This Row],[CUSTO]]*Tabela25[[#This Row],[QUANT. VENDA]])/(Tabela25[[#This Row],[QUANT. VENDA]]*Tabela25[[#This Row],[PREÇO PRATICADO]])))</f>
        <v>0</v>
      </c>
      <c r="N160" s="39">
        <f>VLOOKUP(Tabela25[[#This Row],[CÓDIGO]],'[1]Estrutura Loja'!$B$3:$E$1825,4,0)</f>
        <v>15.009802192248365</v>
      </c>
      <c r="O160" s="39">
        <f>Tabela25[[#This Row],[QUANT. VENDA]]*Tabela25[[#This Row],[PREÇO PRATICADO]]</f>
        <v>0</v>
      </c>
      <c r="P160" s="39">
        <f>Tabela25[[#This Row],[QUANT. VENDA]]*Tabela25[[#This Row],[CUSTO]]</f>
        <v>0</v>
      </c>
      <c r="Q160" s="49">
        <f>Tabela25[[#This Row],[CUSTO]]/Tabela25[[#This Row],[PREÇO PRATICADO]]</f>
        <v>0.68226373601128931</v>
      </c>
      <c r="R160" s="87"/>
      <c r="S160" s="87"/>
      <c r="T160" s="88"/>
    </row>
    <row r="161" spans="1:20" s="86" customFormat="1" ht="13.8" customHeight="1" x14ac:dyDescent="0.3">
      <c r="A161" s="85">
        <v>102000011</v>
      </c>
      <c r="B161" s="28">
        <v>1020</v>
      </c>
      <c r="C161" s="28" t="str">
        <f>VLOOKUP(Tabela25[[#This Row],[GRUPO]],[1]Produto!H168:I535,2,0)</f>
        <v>Ed. Limitada</v>
      </c>
      <c r="D161" s="43" t="s">
        <v>183</v>
      </c>
      <c r="E161" s="36">
        <v>24</v>
      </c>
      <c r="F161" s="36">
        <v>25</v>
      </c>
      <c r="G161" s="21">
        <f>VLOOKUP(Tabela25[[#This Row],[CÓDIGO]],'[1]Estrutura Loja'!$B$3:$M$2941,5,0)</f>
        <v>24.350522307795053</v>
      </c>
      <c r="H161" s="37">
        <f t="shared" si="2"/>
        <v>-0.35052230779505322</v>
      </c>
      <c r="I161" s="36">
        <v>24</v>
      </c>
      <c r="J161" s="22">
        <f>(Tabela25[[#This Row],[PREÇO PRATICADO]]-((Tabela25[[#This Row],[PREÇO PRATICADO]]-'[1]Estrutura Loja'!$J$1710)*([1]Informações!$H$6+[1]Informações!$H$15+[1]Informações!$H$19+[1]Informações!$H$20))-Tabela25[[#This Row],[CUSTO]])/(Tabela25[[#This Row],[PREÇO PRATICADO]]-'[1]Estrutura Loja'!$J$1710)</f>
        <v>0.19173638996321257</v>
      </c>
      <c r="K161" s="67">
        <f>(Tabela25[[#This Row],[PREÇO PRATICADO]]-'[1]Estrutura Loja'!$J$1710)*Tabela25[[#This Row],[LUCRO REAL %]]</f>
        <v>2.2609720309312191</v>
      </c>
      <c r="L161" s="24"/>
      <c r="M161" s="54">
        <f>IF(Tabela25[[#This Row],[QUANT. VENDA]]=0,0,((Tabela25[[#This Row],[CUSTO]]*Tabela25[[#This Row],[QUANT. VENDA]])/(Tabela25[[#This Row],[QUANT. VENDA]]*Tabela25[[#This Row],[PREÇO PRATICADO]])))</f>
        <v>0</v>
      </c>
      <c r="N161" s="39">
        <f>VLOOKUP(Tabela25[[#This Row],[CÓDIGO]],'[1]Estrutura Loja'!$B$3:$E$1825,4,0)</f>
        <v>15.583558992248365</v>
      </c>
      <c r="O161" s="39">
        <f>Tabela25[[#This Row],[QUANT. VENDA]]*Tabela25[[#This Row],[PREÇO PRATICADO]]</f>
        <v>0</v>
      </c>
      <c r="P161" s="39">
        <f>Tabela25[[#This Row],[QUANT. VENDA]]*Tabela25[[#This Row],[CUSTO]]</f>
        <v>0</v>
      </c>
      <c r="Q161" s="49">
        <f>Tabela25[[#This Row],[CUSTO]]/Tabela25[[#This Row],[PREÇO PRATICADO]]</f>
        <v>0.64931495801034855</v>
      </c>
      <c r="R161" s="87"/>
      <c r="S161" s="87"/>
      <c r="T161" s="88"/>
    </row>
    <row r="162" spans="1:20" s="86" customFormat="1" ht="13.8" customHeight="1" x14ac:dyDescent="0.3">
      <c r="A162" s="42">
        <v>102000012</v>
      </c>
      <c r="B162" s="28">
        <v>1020</v>
      </c>
      <c r="C162" s="28" t="str">
        <f>VLOOKUP(Tabela25[[#This Row],[GRUPO]],[1]Produto!H170:I538,2,0)</f>
        <v>Ed. Limitada</v>
      </c>
      <c r="D162" s="43" t="s">
        <v>184</v>
      </c>
      <c r="E162" s="36">
        <v>6</v>
      </c>
      <c r="F162" s="36">
        <v>7</v>
      </c>
      <c r="G162" s="21">
        <f>VLOOKUP(Tabela25[[#This Row],[CÓDIGO]],'[1]Estrutura Loja'!$B$3:$M$2941,5,0)</f>
        <v>5.6654676258992795</v>
      </c>
      <c r="H162" s="37">
        <f t="shared" si="2"/>
        <v>0.33453237410072045</v>
      </c>
      <c r="I162" s="36">
        <v>6</v>
      </c>
      <c r="J162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0.2155</v>
      </c>
      <c r="K162" s="53">
        <f>Tabela25[[#This Row],[PREÇO PRATICADO]]*Tabela25[[#This Row],[LUCRO REAL %]]</f>
        <v>1.2929999999999999</v>
      </c>
      <c r="L162" s="24"/>
      <c r="M162" s="54">
        <f>IF(Tabela25[[#This Row],[QUANT. VENDA]]=0,0,((Tabela25[[#This Row],[CUSTO]]*Tabela25[[#This Row],[QUANT. VENDA]])/(Tabela25[[#This Row],[QUANT. VENDA]]*Tabela25[[#This Row],[PREÇO PRATICADO]])))</f>
        <v>0</v>
      </c>
      <c r="N162" s="39">
        <f>VLOOKUP(Tabela25[[#This Row],[CÓDIGO]],'[1]Estrutura Loja'!$B$3:$E$1825,4,0)</f>
        <v>1.575</v>
      </c>
      <c r="O162" s="39">
        <f>Tabela25[[#This Row],[QUANT. VENDA]]*Tabela25[[#This Row],[PREÇO PRATICADO]]</f>
        <v>0</v>
      </c>
      <c r="P162" s="39">
        <f>Tabela25[[#This Row],[QUANT. VENDA]]*Tabela25[[#This Row],[CUSTO]]</f>
        <v>0</v>
      </c>
      <c r="Q162" s="55">
        <f>Tabela25[[#This Row],[CUSTO]]/Tabela25[[#This Row],[PREÇO PRATICADO]]</f>
        <v>0.26250000000000001</v>
      </c>
      <c r="R162" s="87"/>
      <c r="S162" s="87"/>
      <c r="T162" s="88"/>
    </row>
    <row r="163" spans="1:20" s="86" customFormat="1" ht="14.25" customHeight="1" x14ac:dyDescent="0.3">
      <c r="A163" s="85">
        <v>102000013</v>
      </c>
      <c r="B163" s="28">
        <v>1020</v>
      </c>
      <c r="C163" s="28" t="str">
        <f>VLOOKUP(Tabela25[[#This Row],[GRUPO]],[1]Produto!H171:I539,2,0)</f>
        <v>Ed. Limitada</v>
      </c>
      <c r="D163" s="43" t="s">
        <v>185</v>
      </c>
      <c r="E163" s="36">
        <v>1</v>
      </c>
      <c r="F163" s="36">
        <v>2</v>
      </c>
      <c r="G163" s="21">
        <f>VLOOKUP(Tabela25[[#This Row],[CÓDIGO]],'[1]Estrutura Loja'!$B$3:$M$2941,5,0)</f>
        <v>0.93291366906474815</v>
      </c>
      <c r="H163" s="37">
        <f t="shared" si="2"/>
        <v>6.7086330935251848E-2</v>
      </c>
      <c r="I163" s="36">
        <v>1</v>
      </c>
      <c r="J163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0.21864999999999996</v>
      </c>
      <c r="K163" s="53">
        <f>Tabela25[[#This Row],[PREÇO PRATICADO]]*Tabela25[[#This Row],[LUCRO REAL %]]</f>
        <v>0.21864999999999996</v>
      </c>
      <c r="L163" s="24"/>
      <c r="M163" s="54">
        <f>IF(Tabela25[[#This Row],[QUANT. VENDA]]=0,0,((Tabela25[[#This Row],[CUSTO]]*Tabela25[[#This Row],[QUANT. VENDA]])/(Tabela25[[#This Row],[QUANT. VENDA]]*Tabela25[[#This Row],[PREÇO PRATICADO]])))</f>
        <v>0</v>
      </c>
      <c r="N163" s="39">
        <f>VLOOKUP(Tabela25[[#This Row],[CÓDIGO]],'[1]Estrutura Loja'!$B$3:$E$1825,4,0)</f>
        <v>0.25935000000000002</v>
      </c>
      <c r="O163" s="39">
        <f>Tabela25[[#This Row],[QUANT. VENDA]]*Tabela25[[#This Row],[PREÇO PRATICADO]]</f>
        <v>0</v>
      </c>
      <c r="P163" s="39">
        <f>Tabela25[[#This Row],[QUANT. VENDA]]*Tabela25[[#This Row],[CUSTO]]</f>
        <v>0</v>
      </c>
      <c r="Q163" s="55">
        <f>Tabela25[[#This Row],[CUSTO]]/Tabela25[[#This Row],[PREÇO PRATICADO]]</f>
        <v>0.25935000000000002</v>
      </c>
      <c r="R163" s="87"/>
      <c r="S163" s="87"/>
      <c r="T163" s="88"/>
    </row>
    <row r="164" spans="1:20" s="86" customFormat="1" ht="14.25" customHeight="1" x14ac:dyDescent="0.3">
      <c r="A164" s="85">
        <v>102000014</v>
      </c>
      <c r="B164" s="28">
        <v>1020</v>
      </c>
      <c r="C164" s="28" t="str">
        <f>VLOOKUP(Tabela25[[#This Row],[GRUPO]],[1]Produto!H172:I540,2,0)</f>
        <v>Ed. Limitada</v>
      </c>
      <c r="D164" s="43" t="s">
        <v>186</v>
      </c>
      <c r="E164" s="36">
        <v>9</v>
      </c>
      <c r="F164" s="36">
        <v>10</v>
      </c>
      <c r="G164" s="21">
        <f>VLOOKUP(Tabela25[[#This Row],[CÓDIGO]],'[1]Estrutura Loja'!$B$3:$M$2941,5,0)</f>
        <v>9.1255683453237406</v>
      </c>
      <c r="H164" s="37">
        <f t="shared" si="2"/>
        <v>-0.12556834532374062</v>
      </c>
      <c r="I164" s="36">
        <v>9</v>
      </c>
      <c r="J164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0.19612133333333329</v>
      </c>
      <c r="K164" s="53">
        <f>Tabela25[[#This Row],[PREÇO PRATICADO]]*Tabela25[[#This Row],[LUCRO REAL %]]</f>
        <v>1.7650919999999997</v>
      </c>
      <c r="L164" s="24"/>
      <c r="M164" s="54">
        <f>IF(Tabela25[[#This Row],[QUANT. VENDA]]=0,0,((Tabela25[[#This Row],[CUSTO]]*Tabela25[[#This Row],[QUANT. VENDA]])/(Tabela25[[#This Row],[QUANT. VENDA]]*Tabela25[[#This Row],[PREÇO PRATICADO]])))</f>
        <v>0</v>
      </c>
      <c r="N164" s="39">
        <f>VLOOKUP(Tabela25[[#This Row],[CÓDIGO]],'[1]Estrutura Loja'!$B$3:$E$1825,4,0)</f>
        <v>2.5369079999999999</v>
      </c>
      <c r="O164" s="39">
        <f>Tabela25[[#This Row],[QUANT. VENDA]]*Tabela25[[#This Row],[PREÇO PRATICADO]]</f>
        <v>0</v>
      </c>
      <c r="P164" s="39">
        <f>Tabela25[[#This Row],[QUANT. VENDA]]*Tabela25[[#This Row],[CUSTO]]</f>
        <v>0</v>
      </c>
      <c r="Q164" s="55">
        <f>Tabela25[[#This Row],[CUSTO]]/Tabela25[[#This Row],[PREÇO PRATICADO]]</f>
        <v>0.28187866666666667</v>
      </c>
      <c r="R164" s="87"/>
      <c r="S164" s="87"/>
      <c r="T164" s="88"/>
    </row>
    <row r="165" spans="1:20" s="86" customFormat="1" ht="14.25" customHeight="1" x14ac:dyDescent="0.3">
      <c r="A165" s="85">
        <v>102000015</v>
      </c>
      <c r="B165" s="28">
        <v>1020</v>
      </c>
      <c r="C165" s="28" t="str">
        <f>VLOOKUP(Tabela25[[#This Row],[GRUPO]],[1]Produto!H176:I541,2,0)</f>
        <v>Ed. Limitada</v>
      </c>
      <c r="D165" s="43" t="s">
        <v>187</v>
      </c>
      <c r="E165" s="36">
        <v>4</v>
      </c>
      <c r="F165" s="36">
        <v>5</v>
      </c>
      <c r="G165" s="21">
        <f>VLOOKUP(Tabela25[[#This Row],[CÓDIGO]],'[1]Estrutura Loja'!$B$3:$M$2941,5,0)</f>
        <v>3.5134672749605191</v>
      </c>
      <c r="H165" s="37">
        <f t="shared" si="2"/>
        <v>0.48653272503948086</v>
      </c>
      <c r="I165" s="36">
        <v>4</v>
      </c>
      <c r="J165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0.23381402439024387</v>
      </c>
      <c r="K165" s="53">
        <f>Tabela25[[#This Row],[PREÇO PRATICADO]]*Tabela25[[#This Row],[LUCRO REAL %]]</f>
        <v>0.9352560975609755</v>
      </c>
      <c r="L165" s="24"/>
      <c r="M165" s="54">
        <f>IF(Tabela25[[#This Row],[QUANT. VENDA]]=0,0,((Tabela25[[#This Row],[CUSTO]]*Tabela25[[#This Row],[QUANT. VENDA]])/(Tabela25[[#This Row],[QUANT. VENDA]]*Tabela25[[#This Row],[PREÇO PRATICADO]])))</f>
        <v>0</v>
      </c>
      <c r="N165" s="39">
        <f>VLOOKUP(Tabela25[[#This Row],[CÓDIGO]],'[1]Estrutura Loja'!$B$3:$E$1825,4,0)</f>
        <v>0.97674390243902443</v>
      </c>
      <c r="O165" s="39">
        <f>Tabela25[[#This Row],[QUANT. VENDA]]*Tabela25[[#This Row],[PREÇO PRATICADO]]</f>
        <v>0</v>
      </c>
      <c r="P165" s="39">
        <f>Tabela25[[#This Row],[QUANT. VENDA]]*Tabela25[[#This Row],[CUSTO]]</f>
        <v>0</v>
      </c>
      <c r="Q165" s="55">
        <f>Tabela25[[#This Row],[CUSTO]]/Tabela25[[#This Row],[PREÇO PRATICADO]]</f>
        <v>0.24418597560975611</v>
      </c>
      <c r="R165" s="87"/>
      <c r="S165" s="87"/>
      <c r="T165" s="88"/>
    </row>
    <row r="166" spans="1:20" s="86" customFormat="1" ht="14.25" customHeight="1" x14ac:dyDescent="0.3">
      <c r="A166" s="85">
        <v>102000016</v>
      </c>
      <c r="B166" s="28">
        <v>1020</v>
      </c>
      <c r="C166" s="28" t="str">
        <f>VLOOKUP(Tabela25[[#This Row],[GRUPO]],[1]Produto!H177:I542,2,0)</f>
        <v>Ed. Limitada</v>
      </c>
      <c r="D166" s="43" t="s">
        <v>188</v>
      </c>
      <c r="E166" s="36">
        <v>3</v>
      </c>
      <c r="F166" s="36">
        <v>4</v>
      </c>
      <c r="G166" s="21">
        <f>VLOOKUP(Tabela25[[#This Row],[CÓDIGO]],'[1]Estrutura Loja'!$B$3:$M$2941,5,0)</f>
        <v>2.3535746402877695</v>
      </c>
      <c r="H166" s="37">
        <f t="shared" si="2"/>
        <v>0.64642535971223047</v>
      </c>
      <c r="I166" s="36">
        <v>3</v>
      </c>
      <c r="J166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0.25990208333333331</v>
      </c>
      <c r="K166" s="53">
        <f>Tabela25[[#This Row],[PREÇO PRATICADO]]*Tabela25[[#This Row],[LUCRO REAL %]]</f>
        <v>0.77970624999999993</v>
      </c>
      <c r="L166" s="24"/>
      <c r="M166" s="54">
        <f>IF(Tabela25[[#This Row],[QUANT. VENDA]]=0,0,((Tabela25[[#This Row],[CUSTO]]*Tabela25[[#This Row],[QUANT. VENDA]])/(Tabela25[[#This Row],[QUANT. VENDA]]*Tabela25[[#This Row],[PREÇO PRATICADO]])))</f>
        <v>0</v>
      </c>
      <c r="N166" s="39">
        <f>VLOOKUP(Tabela25[[#This Row],[CÓDIGO]],'[1]Estrutura Loja'!$B$3:$E$1825,4,0)</f>
        <v>0.65429375000000001</v>
      </c>
      <c r="O166" s="39">
        <f>Tabela25[[#This Row],[QUANT. VENDA]]*Tabela25[[#This Row],[PREÇO PRATICADO]]</f>
        <v>0</v>
      </c>
      <c r="P166" s="39">
        <f>Tabela25[[#This Row],[QUANT. VENDA]]*Tabela25[[#This Row],[CUSTO]]</f>
        <v>0</v>
      </c>
      <c r="Q166" s="55">
        <f>Tabela25[[#This Row],[CUSTO]]/Tabela25[[#This Row],[PREÇO PRATICADO]]</f>
        <v>0.21809791666666667</v>
      </c>
      <c r="R166" s="87"/>
      <c r="S166" s="87"/>
      <c r="T166" s="88"/>
    </row>
    <row r="167" spans="1:20" s="86" customFormat="1" ht="14.25" customHeight="1" x14ac:dyDescent="0.3">
      <c r="A167" s="85">
        <v>102000017</v>
      </c>
      <c r="B167" s="28">
        <v>1020</v>
      </c>
      <c r="C167" s="28" t="str">
        <f>VLOOKUP(Tabela25[[#This Row],[GRUPO]],[1]Produto!H178:I543,2,0)</f>
        <v>Ed. Limitada</v>
      </c>
      <c r="D167" s="43" t="s">
        <v>189</v>
      </c>
      <c r="E167" s="36">
        <v>5</v>
      </c>
      <c r="F167" s="36">
        <v>6</v>
      </c>
      <c r="G167" s="21">
        <f>VLOOKUP(Tabela25[[#This Row],[CÓDIGO]],'[1]Estrutura Loja'!$B$3:$M$2941,5,0)</f>
        <v>4.8098663926002043</v>
      </c>
      <c r="H167" s="37">
        <f t="shared" si="2"/>
        <v>0.19013360739979568</v>
      </c>
      <c r="I167" s="36">
        <v>5</v>
      </c>
      <c r="J167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0.21057142857142855</v>
      </c>
      <c r="K167" s="53">
        <f>Tabela25[[#This Row],[PREÇO PRATICADO]]*Tabela25[[#This Row],[LUCRO REAL %]]</f>
        <v>1.0528571428571427</v>
      </c>
      <c r="L167" s="24"/>
      <c r="M167" s="54">
        <f>IF(Tabela25[[#This Row],[QUANT. VENDA]]=0,0,((Tabela25[[#This Row],[CUSTO]]*Tabela25[[#This Row],[QUANT. VENDA]])/(Tabela25[[#This Row],[QUANT. VENDA]]*Tabela25[[#This Row],[PREÇO PRATICADO]])))</f>
        <v>0</v>
      </c>
      <c r="N167" s="39">
        <f>VLOOKUP(Tabela25[[#This Row],[CÓDIGO]],'[1]Estrutura Loja'!$B$3:$E$1825,4,0)</f>
        <v>1.337142857142857</v>
      </c>
      <c r="O167" s="39">
        <f>Tabela25[[#This Row],[QUANT. VENDA]]*Tabela25[[#This Row],[PREÇO PRATICADO]]</f>
        <v>0</v>
      </c>
      <c r="P167" s="39">
        <f>Tabela25[[#This Row],[QUANT. VENDA]]*Tabela25[[#This Row],[CUSTO]]</f>
        <v>0</v>
      </c>
      <c r="Q167" s="55">
        <f>Tabela25[[#This Row],[CUSTO]]/Tabela25[[#This Row],[PREÇO PRATICADO]]</f>
        <v>0.2674285714285714</v>
      </c>
      <c r="R167" s="87"/>
      <c r="S167" s="87"/>
      <c r="T167" s="88"/>
    </row>
    <row r="168" spans="1:20" s="86" customFormat="1" ht="14.25" customHeight="1" x14ac:dyDescent="0.3">
      <c r="A168" s="85">
        <v>102000018</v>
      </c>
      <c r="B168" s="28">
        <v>1020</v>
      </c>
      <c r="C168" s="28" t="str">
        <f>VLOOKUP(Tabela25[[#This Row],[GRUPO]],[1]Produto!H179:I544,2,0)</f>
        <v>Ed. Limitada</v>
      </c>
      <c r="D168" s="43" t="s">
        <v>190</v>
      </c>
      <c r="E168" s="36">
        <v>3</v>
      </c>
      <c r="F168" s="36">
        <v>4</v>
      </c>
      <c r="G168" s="21">
        <f>VLOOKUP(Tabela25[[#This Row],[CÓDIGO]],'[1]Estrutura Loja'!$B$3:$M$2941,5,0)</f>
        <v>2.7189190647482007</v>
      </c>
      <c r="H168" s="37">
        <f t="shared" si="2"/>
        <v>0.28108093525179934</v>
      </c>
      <c r="I168" s="36">
        <v>3</v>
      </c>
      <c r="J168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0.22604683333333334</v>
      </c>
      <c r="K168" s="53">
        <f>Tabela25[[#This Row],[PREÇO PRATICADO]]*Tabela25[[#This Row],[LUCRO REAL %]]</f>
        <v>0.67814050000000003</v>
      </c>
      <c r="L168" s="24"/>
      <c r="M168" s="54">
        <f>IF(Tabela25[[#This Row],[QUANT. VENDA]]=0,0,((Tabela25[[#This Row],[CUSTO]]*Tabela25[[#This Row],[QUANT. VENDA]])/(Tabela25[[#This Row],[QUANT. VENDA]]*Tabela25[[#This Row],[PREÇO PRATICADO]])))</f>
        <v>0</v>
      </c>
      <c r="N168" s="39">
        <f>VLOOKUP(Tabela25[[#This Row],[CÓDIGO]],'[1]Estrutura Loja'!$B$3:$E$1825,4,0)</f>
        <v>0.75585949999999991</v>
      </c>
      <c r="O168" s="39">
        <f>Tabela25[[#This Row],[QUANT. VENDA]]*Tabela25[[#This Row],[PREÇO PRATICADO]]</f>
        <v>0</v>
      </c>
      <c r="P168" s="39">
        <f>Tabela25[[#This Row],[QUANT. VENDA]]*Tabela25[[#This Row],[CUSTO]]</f>
        <v>0</v>
      </c>
      <c r="Q168" s="55">
        <f>Tabela25[[#This Row],[CUSTO]]/Tabela25[[#This Row],[PREÇO PRATICADO]]</f>
        <v>0.25195316666666662</v>
      </c>
      <c r="R168" s="87"/>
      <c r="S168" s="87"/>
      <c r="T168" s="88"/>
    </row>
    <row r="169" spans="1:20" s="86" customFormat="1" ht="14.25" customHeight="1" x14ac:dyDescent="0.3">
      <c r="A169" s="85">
        <v>102000019</v>
      </c>
      <c r="B169" s="34">
        <v>1020</v>
      </c>
      <c r="C169" s="28" t="str">
        <f>VLOOKUP(Tabela25[[#This Row],[GRUPO]],[1]Produto!H138:I485,2,0)</f>
        <v>Ed. Limitada</v>
      </c>
      <c r="D169" s="43" t="s">
        <v>191</v>
      </c>
      <c r="E169" s="44">
        <v>3</v>
      </c>
      <c r="F169" s="44">
        <v>4</v>
      </c>
      <c r="G169" s="21">
        <f>VLOOKUP(Tabela25[[#This Row],[CÓDIGO]],'[1]Estrutura Loja'!$B$3:$M$2941,5,0)</f>
        <v>2.5268645842819417</v>
      </c>
      <c r="H169" s="45">
        <f t="shared" si="2"/>
        <v>0.47313541571805828</v>
      </c>
      <c r="I169" s="44">
        <v>3</v>
      </c>
      <c r="J169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0.24384388185654005</v>
      </c>
      <c r="K169" s="23">
        <f>Tabela25[[#This Row],[PREÇO PRATICADO]]*Tabela25[[#This Row],[LUCRO REAL %]]</f>
        <v>0.73153164556962014</v>
      </c>
      <c r="L169" s="57"/>
      <c r="M169" s="54">
        <f>IF(Tabela25[[#This Row],[QUANT. VENDA]]=0,0,((Tabela25[[#This Row],[CUSTO]]*Tabela25[[#This Row],[QUANT. VENDA]])/(Tabela25[[#This Row],[QUANT. VENDA]]*Tabela25[[#This Row],[PREÇO PRATICADO]])))</f>
        <v>0</v>
      </c>
      <c r="N169" s="48">
        <f>VLOOKUP(Tabela25[[#This Row],[CÓDIGO]],'[1]Estrutura Loja'!$B$3:$E$1825,4,0)</f>
        <v>0.7024683544303798</v>
      </c>
      <c r="O169" s="48">
        <f>Tabela25[[#This Row],[QUANT. VENDA]]*Tabela25[[#This Row],[PREÇO PRATICADO]]</f>
        <v>0</v>
      </c>
      <c r="P169" s="48">
        <f>Tabela25[[#This Row],[QUANT. VENDA]]*Tabela25[[#This Row],[CUSTO]]</f>
        <v>0</v>
      </c>
      <c r="Q169" s="56">
        <f>Tabela25[[#This Row],[CUSTO]]/Tabela25[[#This Row],[PREÇO PRATICADO]]</f>
        <v>0.23415611814345993</v>
      </c>
      <c r="R169" s="87"/>
      <c r="S169" s="87"/>
      <c r="T169" s="88"/>
    </row>
    <row r="170" spans="1:20" s="86" customFormat="1" ht="14.25" customHeight="1" x14ac:dyDescent="0.3">
      <c r="A170" s="85">
        <v>102000020</v>
      </c>
      <c r="B170" s="28">
        <v>1020</v>
      </c>
      <c r="C170" s="28" t="str">
        <f>VLOOKUP(Tabela25[[#This Row],[GRUPO]],[1]Produto!H181:I546,2,0)</f>
        <v>Ed. Limitada</v>
      </c>
      <c r="D170" s="43" t="s">
        <v>192</v>
      </c>
      <c r="E170" s="36">
        <v>6.5</v>
      </c>
      <c r="F170" s="36">
        <v>7.5</v>
      </c>
      <c r="G170" s="21">
        <f>VLOOKUP(Tabela25[[#This Row],[CÓDIGO]],'[1]Estrutura Loja'!$B$3:$M$2941,5,0)</f>
        <v>6.152237095865476</v>
      </c>
      <c r="H170" s="37">
        <f t="shared" si="2"/>
        <v>0.34776290413452404</v>
      </c>
      <c r="I170" s="36">
        <v>6.5</v>
      </c>
      <c r="J170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0.21487355189990728</v>
      </c>
      <c r="K170" s="53">
        <f>Tabela25[[#This Row],[PREÇO PRATICADO]]*Tabela25[[#This Row],[LUCRO REAL %]]</f>
        <v>1.3966780873493974</v>
      </c>
      <c r="L170" s="24"/>
      <c r="M170" s="54">
        <f>IF(Tabela25[[#This Row],[QUANT. VENDA]]=0,0,((Tabela25[[#This Row],[CUSTO]]*Tabela25[[#This Row],[QUANT. VENDA]])/(Tabela25[[#This Row],[QUANT. VENDA]]*Tabela25[[#This Row],[PREÇO PRATICADO]])))</f>
        <v>0</v>
      </c>
      <c r="N170" s="39">
        <f>VLOOKUP(Tabela25[[#This Row],[CÓDIGO]],'[1]Estrutura Loja'!$B$3:$E$1825,4,0)</f>
        <v>1.7103219126506024</v>
      </c>
      <c r="O170" s="39">
        <f>Tabela25[[#This Row],[QUANT. VENDA]]*Tabela25[[#This Row],[PREÇO PRATICADO]]</f>
        <v>0</v>
      </c>
      <c r="P170" s="39">
        <f>Tabela25[[#This Row],[QUANT. VENDA]]*Tabela25[[#This Row],[CUSTO]]</f>
        <v>0</v>
      </c>
      <c r="Q170" s="55">
        <f>Tabela25[[#This Row],[CUSTO]]/Tabela25[[#This Row],[PREÇO PRATICADO]]</f>
        <v>0.26312644810009267</v>
      </c>
      <c r="R170" s="87"/>
      <c r="S170" s="87"/>
      <c r="T170" s="88"/>
    </row>
    <row r="171" spans="1:20" s="86" customFormat="1" ht="14.25" customHeight="1" x14ac:dyDescent="0.3">
      <c r="A171" s="85">
        <v>102000021</v>
      </c>
      <c r="B171" s="28">
        <v>1020</v>
      </c>
      <c r="C171" s="28" t="str">
        <f>VLOOKUP(Tabela25[[#This Row],[GRUPO]],[1]Produto!H109:I438,2,0)</f>
        <v>Ed. Limitada</v>
      </c>
      <c r="D171" s="43" t="s">
        <v>193</v>
      </c>
      <c r="E171" s="44">
        <v>5</v>
      </c>
      <c r="F171" s="44">
        <v>6</v>
      </c>
      <c r="G171" s="21">
        <f>VLOOKUP(Tabela25[[#This Row],[CÓDIGO]],'[1]Estrutura Loja'!$B$3:$M$2941,5,0)</f>
        <v>5.9273381294964027</v>
      </c>
      <c r="H171" s="45">
        <f t="shared" si="2"/>
        <v>-0.92733812949640271</v>
      </c>
      <c r="I171" s="44">
        <v>5</v>
      </c>
      <c r="J171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0.14843999999999991</v>
      </c>
      <c r="K171" s="23">
        <f>Tabela25[[#This Row],[PREÇO PRATICADO]]*Tabela25[[#This Row],[LUCRO REAL %]]</f>
        <v>0.74219999999999953</v>
      </c>
      <c r="L171" s="24"/>
      <c r="M171" s="54">
        <f>IF(Tabela25[[#This Row],[QUANT. VENDA]]=0,0,((Tabela25[[#This Row],[CUSTO]]*Tabela25[[#This Row],[QUANT. VENDA]])/(Tabela25[[#This Row],[QUANT. VENDA]]*Tabela25[[#This Row],[PREÇO PRATICADO]])))</f>
        <v>0</v>
      </c>
      <c r="N171" s="48">
        <f>VLOOKUP(Tabela25[[#This Row],[CÓDIGO]],'[1]Estrutura Loja'!$B$3:$E$1825,4,0)</f>
        <v>1.6478000000000002</v>
      </c>
      <c r="O171" s="48">
        <f>Tabela25[[#This Row],[QUANT. VENDA]]*Tabela25[[#This Row],[PREÇO PRATICADO]]</f>
        <v>0</v>
      </c>
      <c r="P171" s="48">
        <f>Tabela25[[#This Row],[QUANT. VENDA]]*Tabela25[[#This Row],[CUSTO]]</f>
        <v>0</v>
      </c>
      <c r="Q171" s="56">
        <f>Tabela25[[#This Row],[CUSTO]]/Tabela25[[#This Row],[PREÇO PRATICADO]]</f>
        <v>0.32956000000000002</v>
      </c>
      <c r="R171" s="87"/>
      <c r="S171" s="87"/>
      <c r="T171" s="88"/>
    </row>
    <row r="172" spans="1:20" s="86" customFormat="1" ht="14.25" customHeight="1" x14ac:dyDescent="0.3">
      <c r="A172" s="85">
        <v>102000022</v>
      </c>
      <c r="B172" s="28">
        <v>1020</v>
      </c>
      <c r="C172" s="28" t="str">
        <f>VLOOKUP(Tabela25[[#This Row],[GRUPO]],[1]Produto!H109:I438,2,0)</f>
        <v>Ed. Limitada</v>
      </c>
      <c r="D172" s="43" t="s">
        <v>194</v>
      </c>
      <c r="E172" s="44">
        <v>2</v>
      </c>
      <c r="F172" s="44">
        <v>3</v>
      </c>
      <c r="G172" s="21">
        <f>VLOOKUP(Tabela25[[#This Row],[CÓDIGO]],'[1]Estrutura Loja'!$B$3:$M$2941,5,0)</f>
        <v>1.717390839803405</v>
      </c>
      <c r="H172" s="45">
        <f t="shared" si="2"/>
        <v>0.28260916019659499</v>
      </c>
      <c r="I172" s="44">
        <v>2</v>
      </c>
      <c r="J172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0.23928267326732666</v>
      </c>
      <c r="K172" s="23">
        <f>Tabela25[[#This Row],[PREÇO PRATICADO]]*Tabela25[[#This Row],[LUCRO REAL %]]</f>
        <v>0.47856534653465332</v>
      </c>
      <c r="L172" s="24"/>
      <c r="M172" s="54">
        <f>IF(Tabela25[[#This Row],[QUANT. VENDA]]=0,0,((Tabela25[[#This Row],[CUSTO]]*Tabela25[[#This Row],[QUANT. VENDA]])/(Tabela25[[#This Row],[QUANT. VENDA]]*Tabela25[[#This Row],[PREÇO PRATICADO]])))</f>
        <v>0</v>
      </c>
      <c r="N172" s="48">
        <f>VLOOKUP(Tabela25[[#This Row],[CÓDIGO]],'[1]Estrutura Loja'!$B$3:$E$1825,4,0)</f>
        <v>0.47743465346534664</v>
      </c>
      <c r="O172" s="48">
        <f>Tabela25[[#This Row],[QUANT. VENDA]]*Tabela25[[#This Row],[PREÇO PRATICADO]]</f>
        <v>0</v>
      </c>
      <c r="P172" s="48">
        <f>Tabela25[[#This Row],[QUANT. VENDA]]*Tabela25[[#This Row],[CUSTO]]</f>
        <v>0</v>
      </c>
      <c r="Q172" s="56">
        <f>Tabela25[[#This Row],[CUSTO]]/Tabela25[[#This Row],[PREÇO PRATICADO]]</f>
        <v>0.23871732673267332</v>
      </c>
      <c r="R172" s="87"/>
      <c r="S172" s="87"/>
      <c r="T172" s="88"/>
    </row>
    <row r="173" spans="1:20" s="86" customFormat="1" ht="14.25" customHeight="1" x14ac:dyDescent="0.3">
      <c r="A173" s="85">
        <v>102000023</v>
      </c>
      <c r="B173" s="34">
        <v>1020</v>
      </c>
      <c r="C173" s="34" t="str">
        <f>VLOOKUP(Tabela25[[#This Row],[GRUPO]],[1]Produto!H141:I477,2,0)</f>
        <v>Ed. Limitada</v>
      </c>
      <c r="D173" s="43" t="s">
        <v>195</v>
      </c>
      <c r="E173" s="36">
        <v>8</v>
      </c>
      <c r="F173" s="36">
        <v>9</v>
      </c>
      <c r="G173" s="21">
        <f>VLOOKUP(Tabela25[[#This Row],[CÓDIGO]],'[1]Estrutura Loja'!$B$3:$M$2941,5,0)</f>
        <v>7.5092805755395657</v>
      </c>
      <c r="H173" s="37">
        <f t="shared" si="2"/>
        <v>0.49071942446043426</v>
      </c>
      <c r="I173" s="36">
        <v>8</v>
      </c>
      <c r="J173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0.21705250000000004</v>
      </c>
      <c r="K173" s="53">
        <f>Tabela25[[#This Row],[PREÇO PRATICADO]]*Tabela25[[#This Row],[LUCRO REAL %]]</f>
        <v>1.7364200000000003</v>
      </c>
      <c r="L173" s="38"/>
      <c r="M173" s="54">
        <f>IF(Tabela25[[#This Row],[QUANT. VENDA]]=0,0,((Tabela25[[#This Row],[CUSTO]]*Tabela25[[#This Row],[QUANT. VENDA]])/(Tabela25[[#This Row],[QUANT. VENDA]]*Tabela25[[#This Row],[PREÇO PRATICADO]])))</f>
        <v>0</v>
      </c>
      <c r="N173" s="48">
        <f>VLOOKUP(Tabela25[[#This Row],[CÓDIGO]],'[1]Estrutura Loja'!$B$3:$E$1825,4,0)</f>
        <v>2.0875799999999995</v>
      </c>
      <c r="O173" s="39">
        <f>Tabela25[[#This Row],[QUANT. VENDA]]*Tabela25[[#This Row],[PREÇO PRATICADO]]</f>
        <v>0</v>
      </c>
      <c r="P173" s="39">
        <f>Tabela25[[#This Row],[QUANT. VENDA]]*Tabela25[[#This Row],[CUSTO]]</f>
        <v>0</v>
      </c>
      <c r="Q173" s="56">
        <f>Tabela25[[#This Row],[CUSTO]]/Tabela25[[#This Row],[PREÇO PRATICADO]]</f>
        <v>0.26094749999999994</v>
      </c>
      <c r="R173" s="87"/>
      <c r="S173" s="87"/>
      <c r="T173" s="88"/>
    </row>
    <row r="174" spans="1:20" s="86" customFormat="1" ht="14.25" customHeight="1" x14ac:dyDescent="0.3">
      <c r="A174" s="85">
        <v>102000024</v>
      </c>
      <c r="B174" s="34">
        <v>1020</v>
      </c>
      <c r="C174" s="28" t="str">
        <f>VLOOKUP(Tabela25[[#This Row],[GRUPO]],[1]Produto!H139:I486,2,0)</f>
        <v>Ed. Limitada</v>
      </c>
      <c r="D174" s="43" t="s">
        <v>196</v>
      </c>
      <c r="E174" s="44">
        <v>4</v>
      </c>
      <c r="F174" s="44">
        <v>5</v>
      </c>
      <c r="G174" s="21">
        <f>VLOOKUP(Tabela25[[#This Row],[CÓDIGO]],'[1]Estrutura Loja'!$B$3:$M$2941,5,0)</f>
        <v>4.4201798561151078</v>
      </c>
      <c r="H174" s="45">
        <f t="shared" si="2"/>
        <v>-0.42017985611510777</v>
      </c>
      <c r="I174" s="44">
        <v>4</v>
      </c>
      <c r="J174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0.17079749999999999</v>
      </c>
      <c r="K174" s="23">
        <f>Tabela25[[#This Row],[PREÇO PRATICADO]]*Tabela25[[#This Row],[LUCRO REAL %]]</f>
        <v>0.68318999999999996</v>
      </c>
      <c r="L174" s="57"/>
      <c r="M174" s="54">
        <f>IF(Tabela25[[#This Row],[QUANT. VENDA]]=0,0,((Tabela25[[#This Row],[CUSTO]]*Tabela25[[#This Row],[QUANT. VENDA]])/(Tabela25[[#This Row],[QUANT. VENDA]]*Tabela25[[#This Row],[PREÇO PRATICADO]])))</f>
        <v>0</v>
      </c>
      <c r="N174" s="48">
        <f>VLOOKUP(Tabela25[[#This Row],[CÓDIGO]],'[1]Estrutura Loja'!$B$3:$E$1825,4,0)</f>
        <v>1.22881</v>
      </c>
      <c r="O174" s="48">
        <f>Tabela25[[#This Row],[QUANT. VENDA]]*Tabela25[[#This Row],[PREÇO PRATICADO]]</f>
        <v>0</v>
      </c>
      <c r="P174" s="48">
        <f>Tabela25[[#This Row],[QUANT. VENDA]]*Tabela25[[#This Row],[CUSTO]]</f>
        <v>0</v>
      </c>
      <c r="Q174" s="56">
        <f>Tabela25[[#This Row],[CUSTO]]/Tabela25[[#This Row],[PREÇO PRATICADO]]</f>
        <v>0.30720249999999999</v>
      </c>
      <c r="R174" s="87"/>
      <c r="S174" s="87"/>
      <c r="T174" s="88"/>
    </row>
    <row r="175" spans="1:20" x14ac:dyDescent="0.3">
      <c r="A175" s="85">
        <v>102000025</v>
      </c>
      <c r="B175" s="34">
        <v>1020</v>
      </c>
      <c r="C175" s="34" t="str">
        <f>VLOOKUP(Tabela25[[#This Row],[GRUPO]],[1]Produto!H141:I477,2,0)</f>
        <v>Ed. Limitada</v>
      </c>
      <c r="D175" s="43" t="s">
        <v>197</v>
      </c>
      <c r="E175" s="36">
        <v>8</v>
      </c>
      <c r="F175" s="36">
        <v>9</v>
      </c>
      <c r="G175" s="21">
        <f>VLOOKUP(Tabela25[[#This Row],[CÓDIGO]],'[1]Estrutura Loja'!$B$3:$M$2941,5,0)</f>
        <v>7.5876258992805754</v>
      </c>
      <c r="H175" s="37">
        <f t="shared" si="2"/>
        <v>0.4123741007194246</v>
      </c>
      <c r="I175" s="36">
        <v>8</v>
      </c>
      <c r="J175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0.21432999999999996</v>
      </c>
      <c r="K175" s="53">
        <f>Tabela25[[#This Row],[PREÇO PRATICADO]]*Tabela25[[#This Row],[LUCRO REAL %]]</f>
        <v>1.7146399999999997</v>
      </c>
      <c r="L175" s="38"/>
      <c r="M175" s="54">
        <f>IF(Tabela25[[#This Row],[QUANT. VENDA]]=0,0,((Tabela25[[#This Row],[CUSTO]]*Tabela25[[#This Row],[QUANT. VENDA]])/(Tabela25[[#This Row],[QUANT. VENDA]]*Tabela25[[#This Row],[PREÇO PRATICADO]])))</f>
        <v>0</v>
      </c>
      <c r="N175" s="48">
        <f>VLOOKUP(Tabela25[[#This Row],[CÓDIGO]],'[1]Estrutura Loja'!$B$3:$E$1825,4,0)</f>
        <v>2.1093600000000001</v>
      </c>
      <c r="O175" s="39">
        <f>Tabela25[[#This Row],[QUANT. VENDA]]*Tabela25[[#This Row],[PREÇO PRATICADO]]</f>
        <v>0</v>
      </c>
      <c r="P175" s="39">
        <f>Tabela25[[#This Row],[QUANT. VENDA]]*Tabela25[[#This Row],[CUSTO]]</f>
        <v>0</v>
      </c>
      <c r="Q175" s="56">
        <f>Tabela25[[#This Row],[CUSTO]]/Tabela25[[#This Row],[PREÇO PRATICADO]]</f>
        <v>0.26367000000000002</v>
      </c>
      <c r="R175" s="41"/>
      <c r="S175" s="41"/>
      <c r="T175" s="40"/>
    </row>
    <row r="176" spans="1:20" x14ac:dyDescent="0.3">
      <c r="A176" s="85">
        <v>102000026</v>
      </c>
      <c r="B176" s="34">
        <v>1020</v>
      </c>
      <c r="C176" s="28" t="str">
        <f>VLOOKUP(Tabela25[[#This Row],[GRUPO]],[1]Produto!H136:I483,2,0)</f>
        <v>Ed. Limitada</v>
      </c>
      <c r="D176" s="43" t="s">
        <v>198</v>
      </c>
      <c r="E176" s="44">
        <v>5</v>
      </c>
      <c r="F176" s="44">
        <v>6</v>
      </c>
      <c r="G176" s="21">
        <f>VLOOKUP(Tabela25[[#This Row],[CÓDIGO]],'[1]Estrutura Loja'!$B$3:$M$2941,5,0)</f>
        <v>4.1652106885919835</v>
      </c>
      <c r="H176" s="45">
        <f t="shared" si="2"/>
        <v>0.83478931140801649</v>
      </c>
      <c r="I176" s="44">
        <v>5</v>
      </c>
      <c r="J176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0.24641428571428564</v>
      </c>
      <c r="K176" s="23">
        <f>Tabela25[[#This Row],[PREÇO PRATICADO]]*Tabela25[[#This Row],[LUCRO REAL %]]</f>
        <v>1.2320714285714283</v>
      </c>
      <c r="L176" s="57"/>
      <c r="M176" s="54">
        <f>IF(Tabela25[[#This Row],[QUANT. VENDA]]=0,0,((Tabela25[[#This Row],[CUSTO]]*Tabela25[[#This Row],[QUANT. VENDA]])/(Tabela25[[#This Row],[QUANT. VENDA]]*Tabela25[[#This Row],[PREÇO PRATICADO]])))</f>
        <v>0</v>
      </c>
      <c r="N176" s="48">
        <f>VLOOKUP(Tabela25[[#This Row],[CÓDIGO]],'[1]Estrutura Loja'!$B$3:$E$1825,4,0)</f>
        <v>1.1579285714285714</v>
      </c>
      <c r="O176" s="48">
        <f>Tabela25[[#This Row],[QUANT. VENDA]]*Tabela25[[#This Row],[PREÇO PRATICADO]]</f>
        <v>0</v>
      </c>
      <c r="P176" s="48">
        <f>Tabela25[[#This Row],[QUANT. VENDA]]*Tabela25[[#This Row],[CUSTO]]</f>
        <v>0</v>
      </c>
      <c r="Q176" s="56">
        <f>Tabela25[[#This Row],[CUSTO]]/Tabela25[[#This Row],[PREÇO PRATICADO]]</f>
        <v>0.23158571428571428</v>
      </c>
      <c r="R176" s="40"/>
      <c r="S176" s="40"/>
      <c r="T176" s="40"/>
    </row>
    <row r="177" spans="1:20" x14ac:dyDescent="0.3">
      <c r="A177" s="85">
        <v>102000027</v>
      </c>
      <c r="B177" s="34">
        <v>1020</v>
      </c>
      <c r="C177" s="34" t="str">
        <f>VLOOKUP(Tabela25[[#This Row],[GRUPO]],[1]Produto!H182:I531,2,0)</f>
        <v>Ed. Limitada</v>
      </c>
      <c r="D177" s="43" t="s">
        <v>199</v>
      </c>
      <c r="E177" s="36">
        <v>3.5</v>
      </c>
      <c r="F177" s="36">
        <v>4.5</v>
      </c>
      <c r="G177" s="37">
        <f>VLOOKUP(Tabela25[[#This Row],[CÓDIGO]],'[1]Estrutura Loja'!$B$3:$M$2941,5,0)</f>
        <v>3.086330935251798</v>
      </c>
      <c r="H177" s="37">
        <f t="shared" si="2"/>
        <v>0.41366906474820198</v>
      </c>
      <c r="I177" s="36">
        <v>3.5</v>
      </c>
      <c r="J177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0.2328571428571429</v>
      </c>
      <c r="K177" s="23">
        <f>Tabela25[[#This Row],[PREÇO PRATICADO]]*Tabela25[[#This Row],[LUCRO REAL %]]</f>
        <v>0.81500000000000017</v>
      </c>
      <c r="L177" s="38"/>
      <c r="M177" s="67">
        <f>IF(Tabela25[[#This Row],[QUANT. VENDA]]=0,0,((Tabela25[[#This Row],[CUSTO]]*Tabela25[[#This Row],[QUANT. VENDA]])/(Tabela25[[#This Row],[QUANT. VENDA]]*Tabela25[[#This Row],[PREÇO PRATICADO]])))</f>
        <v>0</v>
      </c>
      <c r="N177" s="48">
        <f>VLOOKUP(Tabela25[[#This Row],[CÓDIGO]],'[1]Estrutura Loja'!$B$3:$E$1825,4,0)</f>
        <v>0.85799999999999987</v>
      </c>
      <c r="O177" s="39">
        <f>Tabela25[[#This Row],[QUANT. VENDA]]*Tabela25[[#This Row],[PREÇO PRATICADO]]</f>
        <v>0</v>
      </c>
      <c r="P177" s="39">
        <f>Tabela25[[#This Row],[QUANT. VENDA]]*Tabela25[[#This Row],[CUSTO]]</f>
        <v>0</v>
      </c>
      <c r="Q177" s="56">
        <f>Tabela25[[#This Row],[CUSTO]]/Tabela25[[#This Row],[PREÇO PRATICADO]]</f>
        <v>0.24514285714285711</v>
      </c>
      <c r="R177" s="40"/>
      <c r="S177" s="40"/>
      <c r="T177" s="40"/>
    </row>
    <row r="178" spans="1:20" x14ac:dyDescent="0.3">
      <c r="A178" s="85">
        <v>102000028</v>
      </c>
      <c r="B178" s="34">
        <v>1020</v>
      </c>
      <c r="C178" s="34" t="str">
        <f>VLOOKUP(Tabela25[[#This Row],[GRUPO]],[1]Produto!H183:I532,2,0)</f>
        <v>Ed. Limitada</v>
      </c>
      <c r="D178" s="43" t="s">
        <v>200</v>
      </c>
      <c r="E178" s="36">
        <v>2.5</v>
      </c>
      <c r="F178" s="36">
        <v>3.5</v>
      </c>
      <c r="G178" s="37">
        <f>VLOOKUP(Tabela25[[#This Row],[CÓDIGO]],'[1]Estrutura Loja'!$B$3:$M$2941,5,0)</f>
        <v>2.3616496901488708</v>
      </c>
      <c r="H178" s="37">
        <f t="shared" si="2"/>
        <v>0.13835030985112917</v>
      </c>
      <c r="I178" s="36">
        <v>2.5</v>
      </c>
      <c r="J178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0.21538455445544549</v>
      </c>
      <c r="K178" s="23">
        <f>Tabela25[[#This Row],[PREÇO PRATICADO]]*Tabela25[[#This Row],[LUCRO REAL %]]</f>
        <v>0.53846138613861372</v>
      </c>
      <c r="L178" s="38"/>
      <c r="M178" s="67">
        <f>IF(Tabela25[[#This Row],[QUANT. VENDA]]=0,0,((Tabela25[[#This Row],[CUSTO]]*Tabela25[[#This Row],[QUANT. VENDA]])/(Tabela25[[#This Row],[QUANT. VENDA]]*Tabela25[[#This Row],[PREÇO PRATICADO]])))</f>
        <v>0</v>
      </c>
      <c r="N178" s="48">
        <f>VLOOKUP(Tabela25[[#This Row],[CÓDIGO]],'[1]Estrutura Loja'!$B$3:$E$1825,4,0)</f>
        <v>0.65653861386138612</v>
      </c>
      <c r="O178" s="39">
        <f>Tabela25[[#This Row],[QUANT. VENDA]]*Tabela25[[#This Row],[PREÇO PRATICADO]]</f>
        <v>0</v>
      </c>
      <c r="P178" s="39">
        <f>Tabela25[[#This Row],[QUANT. VENDA]]*Tabela25[[#This Row],[CUSTO]]</f>
        <v>0</v>
      </c>
      <c r="Q178" s="56">
        <f>Tabela25[[#This Row],[CUSTO]]/Tabela25[[#This Row],[PREÇO PRATICADO]]</f>
        <v>0.26261544554455446</v>
      </c>
      <c r="R178" s="40"/>
      <c r="S178" s="40"/>
      <c r="T178" s="40"/>
    </row>
    <row r="179" spans="1:20" x14ac:dyDescent="0.3">
      <c r="A179" s="85">
        <v>102000029</v>
      </c>
      <c r="B179" s="34">
        <v>1020</v>
      </c>
      <c r="C179" s="34" t="str">
        <f>VLOOKUP(Tabela25[[#This Row],[GRUPO]],[1]Produto!H184:I533,2,0)</f>
        <v>Ed. Limitada</v>
      </c>
      <c r="D179" s="43" t="s">
        <v>201</v>
      </c>
      <c r="E179" s="36">
        <v>4.5</v>
      </c>
      <c r="F179" s="36">
        <v>5.5</v>
      </c>
      <c r="G179" s="37">
        <f>VLOOKUP(Tabela25[[#This Row],[CÓDIGO]],'[1]Estrutura Loja'!$B$3:$M$2941,5,0)</f>
        <v>4.4050359712230218</v>
      </c>
      <c r="H179" s="37">
        <f t="shared" si="2"/>
        <v>9.4964028776978182E-2</v>
      </c>
      <c r="I179" s="36">
        <v>4.5</v>
      </c>
      <c r="J179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0.20586666666666659</v>
      </c>
      <c r="K179" s="23">
        <f>Tabela25[[#This Row],[PREÇO PRATICADO]]*Tabela25[[#This Row],[LUCRO REAL %]]</f>
        <v>0.92639999999999967</v>
      </c>
      <c r="L179" s="38"/>
      <c r="M179" s="67">
        <f>IF(Tabela25[[#This Row],[QUANT. VENDA]]=0,0,((Tabela25[[#This Row],[CUSTO]]*Tabela25[[#This Row],[QUANT. VENDA]])/(Tabela25[[#This Row],[QUANT. VENDA]]*Tabela25[[#This Row],[PREÇO PRATICADO]])))</f>
        <v>0</v>
      </c>
      <c r="N179" s="48">
        <f>VLOOKUP(Tabela25[[#This Row],[CÓDIGO]],'[1]Estrutura Loja'!$B$3:$E$1825,4,0)</f>
        <v>1.2246000000000001</v>
      </c>
      <c r="O179" s="39">
        <f>Tabela25[[#This Row],[QUANT. VENDA]]*Tabela25[[#This Row],[PREÇO PRATICADO]]</f>
        <v>0</v>
      </c>
      <c r="P179" s="39">
        <f>Tabela25[[#This Row],[QUANT. VENDA]]*Tabela25[[#This Row],[CUSTO]]</f>
        <v>0</v>
      </c>
      <c r="Q179" s="56">
        <f>Tabela25[[#This Row],[CUSTO]]/Tabela25[[#This Row],[PREÇO PRATICADO]]</f>
        <v>0.27213333333333334</v>
      </c>
      <c r="R179" s="40"/>
      <c r="S179" s="40"/>
      <c r="T179" s="40"/>
    </row>
    <row r="180" spans="1:20" x14ac:dyDescent="0.3">
      <c r="A180" s="85">
        <v>102000030</v>
      </c>
      <c r="B180" s="34">
        <v>1020</v>
      </c>
      <c r="C180" s="34" t="str">
        <f>VLOOKUP(Tabela25[[#This Row],[GRUPO]],[1]Produto!H185:I534,2,0)</f>
        <v>Ed. Limitada</v>
      </c>
      <c r="D180" s="43" t="s">
        <v>202</v>
      </c>
      <c r="E180" s="36">
        <v>9.5</v>
      </c>
      <c r="F180" s="36">
        <v>10.5</v>
      </c>
      <c r="G180" s="37">
        <f>VLOOKUP(Tabela25[[#This Row],[CÓDIGO]],'[1]Estrutura Loja'!$B$3:$M$2941,5,0)</f>
        <v>9.3478417266187037</v>
      </c>
      <c r="H180" s="37">
        <f t="shared" si="2"/>
        <v>0.15215827338129628</v>
      </c>
      <c r="I180" s="36">
        <v>9.5</v>
      </c>
      <c r="J180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0.2044526315789473</v>
      </c>
      <c r="K180" s="23">
        <f>Tabela25[[#This Row],[PREÇO PRATICADO]]*Tabela25[[#This Row],[LUCRO REAL %]]</f>
        <v>1.9422999999999995</v>
      </c>
      <c r="L180" s="38"/>
      <c r="M180" s="67">
        <f>IF(Tabela25[[#This Row],[QUANT. VENDA]]=0,0,((Tabela25[[#This Row],[CUSTO]]*Tabela25[[#This Row],[QUANT. VENDA]])/(Tabela25[[#This Row],[QUANT. VENDA]]*Tabela25[[#This Row],[PREÇO PRATICADO]])))</f>
        <v>0</v>
      </c>
      <c r="N180" s="48">
        <f>VLOOKUP(Tabela25[[#This Row],[CÓDIGO]],'[1]Estrutura Loja'!$B$3:$E$1825,4,0)</f>
        <v>2.5987</v>
      </c>
      <c r="O180" s="39">
        <f>Tabela25[[#This Row],[QUANT. VENDA]]*Tabela25[[#This Row],[PREÇO PRATICADO]]</f>
        <v>0</v>
      </c>
      <c r="P180" s="39">
        <f>Tabela25[[#This Row],[QUANT. VENDA]]*Tabela25[[#This Row],[CUSTO]]</f>
        <v>0</v>
      </c>
      <c r="Q180" s="56">
        <f>Tabela25[[#This Row],[CUSTO]]/Tabela25[[#This Row],[PREÇO PRATICADO]]</f>
        <v>0.27354736842105265</v>
      </c>
      <c r="R180" s="40"/>
      <c r="S180" s="40"/>
      <c r="T180" s="40"/>
    </row>
    <row r="181" spans="1:20" x14ac:dyDescent="0.3">
      <c r="A181" s="85">
        <v>102000050</v>
      </c>
      <c r="B181" s="28">
        <v>1020</v>
      </c>
      <c r="C181" s="34" t="str">
        <f>VLOOKUP(Tabela25[[#This Row],[GRUPO]],[1]Produto!H144:I480,2,0)</f>
        <v>Ed. Limitada</v>
      </c>
      <c r="D181" s="43" t="s">
        <v>203</v>
      </c>
      <c r="E181" s="44">
        <v>23</v>
      </c>
      <c r="F181" s="44">
        <v>26</v>
      </c>
      <c r="G181" s="21">
        <f>VLOOKUP(Tabela25[[#This Row],[CÓDIGO]],'[1]Estrutura Loja'!$B$3:$M$2941,5,0)</f>
        <v>23.020770752826312</v>
      </c>
      <c r="H181" s="37">
        <f t="shared" si="2"/>
        <v>-2.0770752826312133E-2</v>
      </c>
      <c r="I181" s="44">
        <v>23</v>
      </c>
      <c r="J18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0.19974894481366454</v>
      </c>
      <c r="K181" s="53">
        <f>Tabela25[[#This Row],[PREÇO PRATICADO]]*Tabela25[[#This Row],[LUCRO REAL %]]</f>
        <v>4.5942257307142844</v>
      </c>
      <c r="L181" s="38"/>
      <c r="M181" s="54">
        <f>IF(Tabela25[[#This Row],[QUANT. VENDA]]=0,0,((Tabela25[[#This Row],[CUSTO]]*Tabela25[[#This Row],[QUANT. VENDA]])/(Tabela25[[#This Row],[QUANT. VENDA]]*Tabela25[[#This Row],[PREÇO PRATICADO]])))</f>
        <v>0</v>
      </c>
      <c r="N181" s="48">
        <f>VLOOKUP(Tabela25[[#This Row],[CÓDIGO]],'[1]Estrutura Loja'!$B$3:$E$1825,4,0)</f>
        <v>6.3997742692857154</v>
      </c>
      <c r="O181" s="39">
        <f>Tabela25[[#This Row],[QUANT. VENDA]]*Tabela25[[#This Row],[PREÇO PRATICADO]]</f>
        <v>0</v>
      </c>
      <c r="P181" s="39">
        <f>Tabela25[[#This Row],[QUANT. VENDA]]*Tabela25[[#This Row],[CUSTO]]</f>
        <v>0</v>
      </c>
      <c r="Q181" s="56">
        <f>Tabela25[[#This Row],[CUSTO]]/Tabela25[[#This Row],[PREÇO PRATICADO]]</f>
        <v>0.27825105518633547</v>
      </c>
      <c r="R181" s="40"/>
      <c r="S181" s="40"/>
      <c r="T181" s="40"/>
    </row>
    <row r="182" spans="1:20" x14ac:dyDescent="0.3">
      <c r="A182" s="42">
        <v>102000051</v>
      </c>
      <c r="B182" s="28">
        <v>1020</v>
      </c>
      <c r="C182" s="34" t="str">
        <f>VLOOKUP(Tabela25[[#This Row],[GRUPO]],[1]Produto!H148:I484,2,0)</f>
        <v>Ed. Limitada</v>
      </c>
      <c r="D182" s="43" t="s">
        <v>204</v>
      </c>
      <c r="E182" s="36">
        <v>33</v>
      </c>
      <c r="F182" s="36">
        <v>37</v>
      </c>
      <c r="G182" s="21">
        <f>VLOOKUP(Tabela25[[#This Row],[CÓDIGO]],'[1]Estrutura Loja'!$B$3:$M$2941,5,0)</f>
        <v>32.914679444444445</v>
      </c>
      <c r="H182" s="37">
        <f t="shared" si="2"/>
        <v>8.5320555555554733E-2</v>
      </c>
      <c r="I182" s="36">
        <v>33</v>
      </c>
      <c r="J182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0.20071876104377104</v>
      </c>
      <c r="K182" s="53">
        <f>Tabela25[[#This Row],[PREÇO PRATICADO]]*Tabela25[[#This Row],[LUCRO REAL %]]</f>
        <v>6.6237191144444445</v>
      </c>
      <c r="L182" s="38"/>
      <c r="M182" s="54">
        <f>IF(Tabela25[[#This Row],[QUANT. VENDA]]=0,0,((Tabela25[[#This Row],[CUSTO]]*Tabela25[[#This Row],[QUANT. VENDA]])/(Tabela25[[#This Row],[QUANT. VENDA]]*Tabela25[[#This Row],[PREÇO PRATICADO]])))</f>
        <v>0</v>
      </c>
      <c r="N182" s="48">
        <f>VLOOKUP(Tabela25[[#This Row],[CÓDIGO]],'[1]Estrutura Loja'!$B$3:$E$1825,4,0)</f>
        <v>9.1502808855555564</v>
      </c>
      <c r="O182" s="39">
        <f>Tabela25[[#This Row],[QUANT. VENDA]]*Tabela25[[#This Row],[PREÇO PRATICADO]]</f>
        <v>0</v>
      </c>
      <c r="P182" s="39">
        <f>Tabela25[[#This Row],[QUANT. VENDA]]*Tabela25[[#This Row],[CUSTO]]</f>
        <v>0</v>
      </c>
      <c r="Q182" s="56">
        <f>Tabela25[[#This Row],[CUSTO]]/Tabela25[[#This Row],[PREÇO PRATICADO]]</f>
        <v>0.27728123895622897</v>
      </c>
      <c r="R182" s="40"/>
      <c r="S182" s="40"/>
      <c r="T182" s="40"/>
    </row>
    <row r="183" spans="1:20" x14ac:dyDescent="0.3">
      <c r="A183" s="42">
        <v>102000052</v>
      </c>
      <c r="B183" s="28">
        <v>1020</v>
      </c>
      <c r="C183" s="28" t="str">
        <f>VLOOKUP(Tabela25[[#This Row],[GRUPO]],[1]Produto!H110:I439,2,0)</f>
        <v>Ed. Limitada</v>
      </c>
      <c r="D183" s="43" t="s">
        <v>205</v>
      </c>
      <c r="E183" s="36">
        <v>45</v>
      </c>
      <c r="F183" s="36">
        <v>51</v>
      </c>
      <c r="G183" s="21">
        <f>VLOOKUP(Tabela25[[#This Row],[CÓDIGO]],'[1]Estrutura Loja'!$B$3:$M$2941,5,0)</f>
        <v>46.491919768756425</v>
      </c>
      <c r="H183" s="45">
        <f t="shared" si="2"/>
        <v>-1.491919768756425</v>
      </c>
      <c r="I183" s="36">
        <v>45</v>
      </c>
      <c r="J18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0.19078325120634915</v>
      </c>
      <c r="K183" s="23">
        <f>Tabela25[[#This Row],[PREÇO PRATICADO]]*Tabela25[[#This Row],[LUCRO REAL %]]</f>
        <v>8.585246304285711</v>
      </c>
      <c r="L183" s="24"/>
      <c r="M183" s="54">
        <f>IF(Tabela25[[#This Row],[QUANT. VENDA]]=0,0,((Tabela25[[#This Row],[CUSTO]]*Tabela25[[#This Row],[QUANT. VENDA]])/(Tabela25[[#This Row],[QUANT. VENDA]]*Tabela25[[#This Row],[PREÇO PRATICADO]])))</f>
        <v>0</v>
      </c>
      <c r="N183" s="48">
        <f>VLOOKUP(Tabela25[[#This Row],[CÓDIGO]],'[1]Estrutura Loja'!$B$3:$E$1825,4,0)</f>
        <v>12.924753695714287</v>
      </c>
      <c r="O183" s="48">
        <f>Tabela25[[#This Row],[QUANT. VENDA]]*Tabela25[[#This Row],[PREÇO PRATICADO]]</f>
        <v>0</v>
      </c>
      <c r="P183" s="48">
        <f>Tabela25[[#This Row],[QUANT. VENDA]]*Tabela25[[#This Row],[CUSTO]]</f>
        <v>0</v>
      </c>
      <c r="Q183" s="56">
        <f>Tabela25[[#This Row],[CUSTO]]/Tabela25[[#This Row],[PREÇO PRATICADO]]</f>
        <v>0.28721674879365083</v>
      </c>
      <c r="R183" s="40"/>
      <c r="S183" s="40"/>
      <c r="T183" s="40"/>
    </row>
    <row r="184" spans="1:20" x14ac:dyDescent="0.3">
      <c r="A184" s="42">
        <v>102000053</v>
      </c>
      <c r="B184" s="28">
        <v>1020</v>
      </c>
      <c r="C184" s="34" t="str">
        <f>VLOOKUP(Tabela25[[#This Row],[GRUPO]],[1]Produto!H145:I481,2,0)</f>
        <v>Ed. Limitada</v>
      </c>
      <c r="D184" s="43" t="s">
        <v>206</v>
      </c>
      <c r="E184" s="44">
        <v>30</v>
      </c>
      <c r="F184" s="44">
        <v>34</v>
      </c>
      <c r="G184" s="21">
        <f>VLOOKUP(Tabela25[[#This Row],[CÓDIGO]],'[1]Estrutura Loja'!$B$3:$M$2941,5,0)</f>
        <v>30.092893054984579</v>
      </c>
      <c r="H184" s="37">
        <f t="shared" si="2"/>
        <v>-9.2893054984578782E-2</v>
      </c>
      <c r="I184" s="44">
        <v>30</v>
      </c>
      <c r="J18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0.19913919102380953</v>
      </c>
      <c r="K184" s="53">
        <f>Tabela25[[#This Row],[PREÇO PRATICADO]]*Tabela25[[#This Row],[LUCRO REAL %]]</f>
        <v>5.9741757307142862</v>
      </c>
      <c r="L184" s="38"/>
      <c r="M184" s="54">
        <f>IF(Tabela25[[#This Row],[QUANT. VENDA]]=0,0,((Tabela25[[#This Row],[CUSTO]]*Tabela25[[#This Row],[QUANT. VENDA]])/(Tabela25[[#This Row],[QUANT. VENDA]]*Tabela25[[#This Row],[PREÇO PRATICADO]])))</f>
        <v>0</v>
      </c>
      <c r="N184" s="48">
        <f>VLOOKUP(Tabela25[[#This Row],[CÓDIGO]],'[1]Estrutura Loja'!$B$3:$E$1825,4,0)</f>
        <v>8.3658242692857137</v>
      </c>
      <c r="O184" s="39">
        <f>Tabela25[[#This Row],[QUANT. VENDA]]*Tabela25[[#This Row],[PREÇO PRATICADO]]</f>
        <v>0</v>
      </c>
      <c r="P184" s="39">
        <f>Tabela25[[#This Row],[QUANT. VENDA]]*Tabela25[[#This Row],[CUSTO]]</f>
        <v>0</v>
      </c>
      <c r="Q184" s="56">
        <f>Tabela25[[#This Row],[CUSTO]]/Tabela25[[#This Row],[PREÇO PRATICADO]]</f>
        <v>0.27886080897619048</v>
      </c>
      <c r="R184" s="40"/>
      <c r="S184" s="40"/>
      <c r="T184" s="40"/>
    </row>
    <row r="185" spans="1:20" x14ac:dyDescent="0.3">
      <c r="A185" s="42">
        <v>102000054</v>
      </c>
      <c r="B185" s="28">
        <v>1020</v>
      </c>
      <c r="C185" s="34" t="str">
        <f>VLOOKUP(Tabela25[[#This Row],[GRUPO]],[1]Produto!H149:I485,2,0)</f>
        <v>Ed. Limitada</v>
      </c>
      <c r="D185" s="43" t="s">
        <v>207</v>
      </c>
      <c r="E185" s="36">
        <v>44</v>
      </c>
      <c r="F185" s="36">
        <v>50</v>
      </c>
      <c r="G185" s="21">
        <f>VLOOKUP(Tabela25[[#This Row],[CÓDIGO]],'[1]Estrutura Loja'!$B$3:$M$2941,5,0)</f>
        <v>44.502988796962434</v>
      </c>
      <c r="H185" s="37">
        <f t="shared" si="2"/>
        <v>-0.50298879696243404</v>
      </c>
      <c r="I185" s="36">
        <v>44</v>
      </c>
      <c r="J185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0.1968220253282828</v>
      </c>
      <c r="K185" s="53">
        <f>Tabela25[[#This Row],[PREÇO PRATICADO]]*Tabela25[[#This Row],[LUCRO REAL %]]</f>
        <v>8.660169114444443</v>
      </c>
      <c r="L185" s="38"/>
      <c r="M185" s="54">
        <f>IF(Tabela25[[#This Row],[QUANT. VENDA]]=0,0,((Tabela25[[#This Row],[CUSTO]]*Tabela25[[#This Row],[QUANT. VENDA]])/(Tabela25[[#This Row],[QUANT. VENDA]]*Tabela25[[#This Row],[PREÇO PRATICADO]])))</f>
        <v>0</v>
      </c>
      <c r="N185" s="48">
        <f>VLOOKUP(Tabela25[[#This Row],[CÓDIGO]],'[1]Estrutura Loja'!$B$3:$E$1825,4,0)</f>
        <v>12.371830885555557</v>
      </c>
      <c r="O185" s="39">
        <f>Tabela25[[#This Row],[QUANT. VENDA]]*Tabela25[[#This Row],[PREÇO PRATICADO]]</f>
        <v>0</v>
      </c>
      <c r="P185" s="39">
        <f>Tabela25[[#This Row],[QUANT. VENDA]]*Tabela25[[#This Row],[CUSTO]]</f>
        <v>0</v>
      </c>
      <c r="Q185" s="56">
        <f>Tabela25[[#This Row],[CUSTO]]/Tabela25[[#This Row],[PREÇO PRATICADO]]</f>
        <v>0.28117797467171718</v>
      </c>
      <c r="R185" s="40"/>
      <c r="S185" s="40"/>
      <c r="T185" s="40"/>
    </row>
    <row r="186" spans="1:20" x14ac:dyDescent="0.3">
      <c r="A186" s="42">
        <v>102000055</v>
      </c>
      <c r="B186" s="28">
        <v>1020</v>
      </c>
      <c r="C186" s="34" t="str">
        <f>VLOOKUP(Tabela25[[#This Row],[GRUPO]],[1]Produto!H173:I529,2,0)</f>
        <v>Ed. Limitada</v>
      </c>
      <c r="D186" s="51" t="s">
        <v>208</v>
      </c>
      <c r="E186" s="36">
        <v>17</v>
      </c>
      <c r="F186" s="36">
        <v>20</v>
      </c>
      <c r="G186" s="37">
        <f>VLOOKUP(Tabela25[[#This Row],[CÓDIGO]],'[1]Estrutura Loja'!$B$3:$M$2941,5,0)</f>
        <v>17.281382263617679</v>
      </c>
      <c r="H186" s="37">
        <f t="shared" si="2"/>
        <v>-0.28138226361767948</v>
      </c>
      <c r="I186" s="36">
        <v>17</v>
      </c>
      <c r="J186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0.19539857239495789</v>
      </c>
      <c r="K186" s="53">
        <f>Tabela25[[#This Row],[PREÇO PRATICADO]]*Tabela25[[#This Row],[LUCRO REAL %]]</f>
        <v>3.3217757307142843</v>
      </c>
      <c r="L186" s="38"/>
      <c r="M186" s="54">
        <f>IF(Tabela25[[#This Row],[QUANT. VENDA]]=0,0,((Tabela25[[#This Row],[CUSTO]]*Tabela25[[#This Row],[QUANT. VENDA]])/(Tabela25[[#This Row],[QUANT. VENDA]]*Tabela25[[#This Row],[PREÇO PRATICADO]])))</f>
        <v>0</v>
      </c>
      <c r="N186" s="48">
        <f>VLOOKUP(Tabela25[[#This Row],[CÓDIGO]],'[1]Estrutura Loja'!$B$3:$E$1825,4,0)</f>
        <v>4.8042242692857151</v>
      </c>
      <c r="O186" s="39">
        <f>Tabela25[[#This Row],[QUANT. VENDA]]*Tabela25[[#This Row],[PREÇO PRATICADO]]</f>
        <v>0</v>
      </c>
      <c r="P186" s="39">
        <f>Tabela25[[#This Row],[QUANT. VENDA]]*Tabela25[[#This Row],[CUSTO]]</f>
        <v>0</v>
      </c>
      <c r="Q186" s="56">
        <f>Tabela25[[#This Row],[CUSTO]]/Tabela25[[#This Row],[PREÇO PRATICADO]]</f>
        <v>0.28260142760504209</v>
      </c>
      <c r="R186" s="40"/>
      <c r="S186" s="40"/>
      <c r="T186" s="40"/>
    </row>
    <row r="187" spans="1:20" x14ac:dyDescent="0.3">
      <c r="A187" s="42">
        <v>102000056</v>
      </c>
      <c r="B187" s="28">
        <v>1020</v>
      </c>
      <c r="C187" s="34" t="str">
        <f>VLOOKUP(Tabela25[[#This Row],[GRUPO]],[1]Produto!H173:I529,2,0)</f>
        <v>Ed. Limitada</v>
      </c>
      <c r="D187" s="43" t="s">
        <v>209</v>
      </c>
      <c r="E187" s="36">
        <v>24</v>
      </c>
      <c r="F187" s="36">
        <v>28</v>
      </c>
      <c r="G187" s="37">
        <f>VLOOKUP(Tabela25[[#This Row],[CÓDIGO]],'[1]Estrutura Loja'!$B$3:$M$2941,5,0)</f>
        <v>24.5454348401279</v>
      </c>
      <c r="H187" s="37">
        <f t="shared" si="2"/>
        <v>-0.54543484012789989</v>
      </c>
      <c r="I187" s="36">
        <v>24</v>
      </c>
      <c r="J187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0.19368204643518513</v>
      </c>
      <c r="K187" s="53">
        <f>Tabela25[[#This Row],[PREÇO PRATICADO]]*Tabela25[[#This Row],[LUCRO REAL %]]</f>
        <v>4.648369114444443</v>
      </c>
      <c r="L187" s="38"/>
      <c r="M187" s="54">
        <f>IF(Tabela25[[#This Row],[QUANT. VENDA]]=0,0,((Tabela25[[#This Row],[CUSTO]]*Tabela25[[#This Row],[QUANT. VENDA]])/(Tabela25[[#This Row],[QUANT. VENDA]]*Tabela25[[#This Row],[PREÇO PRATICADO]])))</f>
        <v>0</v>
      </c>
      <c r="N187" s="48">
        <f>VLOOKUP(Tabela25[[#This Row],[CÓDIGO]],'[1]Estrutura Loja'!$B$3:$E$1825,4,0)</f>
        <v>6.8236308855555565</v>
      </c>
      <c r="O187" s="39">
        <f>Tabela25[[#This Row],[QUANT. VENDA]]*Tabela25[[#This Row],[PREÇO PRATICADO]]</f>
        <v>0</v>
      </c>
      <c r="P187" s="39">
        <f>Tabela25[[#This Row],[QUANT. VENDA]]*Tabela25[[#This Row],[CUSTO]]</f>
        <v>0</v>
      </c>
      <c r="Q187" s="56">
        <f>Tabela25[[#This Row],[CUSTO]]/Tabela25[[#This Row],[PREÇO PRATICADO]]</f>
        <v>0.28431795356481487</v>
      </c>
      <c r="R187" s="40"/>
      <c r="S187" s="40"/>
      <c r="T187" s="40"/>
    </row>
    <row r="188" spans="1:20" x14ac:dyDescent="0.3">
      <c r="A188" s="42">
        <v>102000057</v>
      </c>
      <c r="B188" s="28">
        <v>1020</v>
      </c>
      <c r="C188" s="34" t="str">
        <f>VLOOKUP(Tabela25[[#This Row],[GRUPO]],[1]Produto!H175:I531,2,0)</f>
        <v>Ed. Limitada</v>
      </c>
      <c r="D188" s="51" t="s">
        <v>210</v>
      </c>
      <c r="E188" s="36">
        <v>19</v>
      </c>
      <c r="F188" s="36">
        <v>22</v>
      </c>
      <c r="G188" s="37">
        <f>VLOOKUP(Tabela25[[#This Row],[CÓDIGO]],'[1]Estrutura Loja'!$B$3:$M$2941,5,0)</f>
        <v>19.656562119732783</v>
      </c>
      <c r="H188" s="37">
        <f t="shared" si="2"/>
        <v>-0.65656211973278289</v>
      </c>
      <c r="I188" s="36">
        <v>19</v>
      </c>
      <c r="J188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0.19039345951127812</v>
      </c>
      <c r="K188" s="53">
        <f>Tabela25[[#This Row],[PREÇO PRATICADO]]*Tabela25[[#This Row],[LUCRO REAL %]]</f>
        <v>3.6174757307142844</v>
      </c>
      <c r="L188" s="38"/>
      <c r="M188" s="54">
        <f>IF(Tabela25[[#This Row],[QUANT. VENDA]]=0,0,((Tabela25[[#This Row],[CUSTO]]*Tabela25[[#This Row],[QUANT. VENDA]])/(Tabela25[[#This Row],[QUANT. VENDA]]*Tabela25[[#This Row],[PREÇO PRATICADO]])))</f>
        <v>0</v>
      </c>
      <c r="N188" s="48">
        <f>VLOOKUP(Tabela25[[#This Row],[CÓDIGO]],'[1]Estrutura Loja'!$B$3:$E$1825,4,0)</f>
        <v>5.4645242692857146</v>
      </c>
      <c r="O188" s="39">
        <f>Tabela25[[#This Row],[QUANT. VENDA]]*Tabela25[[#This Row],[PREÇO PRATICADO]]</f>
        <v>0</v>
      </c>
      <c r="P188" s="39">
        <f>Tabela25[[#This Row],[QUANT. VENDA]]*Tabela25[[#This Row],[CUSTO]]</f>
        <v>0</v>
      </c>
      <c r="Q188" s="56">
        <f>Tabela25[[#This Row],[CUSTO]]/Tabela25[[#This Row],[PREÇO PRATICADO]]</f>
        <v>0.28760654048872181</v>
      </c>
      <c r="R188" s="40"/>
      <c r="S188" s="40"/>
      <c r="T188" s="40"/>
    </row>
    <row r="189" spans="1:20" x14ac:dyDescent="0.3">
      <c r="A189" s="42">
        <v>102000058</v>
      </c>
      <c r="B189" s="28">
        <v>1020</v>
      </c>
      <c r="C189" s="34" t="str">
        <f>VLOOKUP(Tabela25[[#This Row],[GRUPO]],[1]Produto!H175:I531,2,0)</f>
        <v>Ed. Limitada</v>
      </c>
      <c r="D189" s="43" t="s">
        <v>211</v>
      </c>
      <c r="E189" s="36">
        <v>27</v>
      </c>
      <c r="F189" s="36">
        <v>31</v>
      </c>
      <c r="G189" s="37">
        <f>VLOOKUP(Tabela25[[#This Row],[CÓDIGO]],'[1]Estrutura Loja'!$B$3:$M$2941,5,0)</f>
        <v>27.858384480415666</v>
      </c>
      <c r="H189" s="37">
        <f t="shared" si="2"/>
        <v>-0.85838448041566551</v>
      </c>
      <c r="I189" s="36">
        <v>27</v>
      </c>
      <c r="J189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0.19116181905349788</v>
      </c>
      <c r="K189" s="53">
        <f>Tabela25[[#This Row],[PREÇO PRATICADO]]*Tabela25[[#This Row],[LUCRO REAL %]]</f>
        <v>5.1613691144444429</v>
      </c>
      <c r="L189" s="38"/>
      <c r="M189" s="54">
        <f>IF(Tabela25[[#This Row],[QUANT. VENDA]]=0,0,((Tabela25[[#This Row],[CUSTO]]*Tabela25[[#This Row],[QUANT. VENDA]])/(Tabela25[[#This Row],[QUANT. VENDA]]*Tabela25[[#This Row],[PREÇO PRATICADO]])))</f>
        <v>0</v>
      </c>
      <c r="N189" s="48">
        <f>VLOOKUP(Tabela25[[#This Row],[CÓDIGO]],'[1]Estrutura Loja'!$B$3:$E$1825,4,0)</f>
        <v>7.7446308855555559</v>
      </c>
      <c r="O189" s="39">
        <f>Tabela25[[#This Row],[QUANT. VENDA]]*Tabela25[[#This Row],[PREÇO PRATICADO]]</f>
        <v>0</v>
      </c>
      <c r="P189" s="39">
        <f>Tabela25[[#This Row],[QUANT. VENDA]]*Tabela25[[#This Row],[CUSTO]]</f>
        <v>0</v>
      </c>
      <c r="Q189" s="56">
        <f>Tabela25[[#This Row],[CUSTO]]/Tabela25[[#This Row],[PREÇO PRATICADO]]</f>
        <v>0.2868381809465021</v>
      </c>
      <c r="R189" s="40"/>
      <c r="S189" s="40"/>
      <c r="T189" s="40"/>
    </row>
    <row r="190" spans="1:20" x14ac:dyDescent="0.3">
      <c r="A190" s="66">
        <v>102000080</v>
      </c>
      <c r="B190" s="34">
        <v>1020</v>
      </c>
      <c r="C190" s="34" t="str">
        <f>VLOOKUP(Tabela25[[#This Row],[GRUPO]],[1]Produto!H167:I516,2,0)</f>
        <v>Ed. Limitada</v>
      </c>
      <c r="D190" s="43" t="s">
        <v>212</v>
      </c>
      <c r="E190" s="36">
        <v>29</v>
      </c>
      <c r="F190" s="36">
        <v>32</v>
      </c>
      <c r="G190" s="37">
        <f>VLOOKUP(Tabela25[[#This Row],[CÓDIGO]],'[1]Estrutura Loja'!$B$3:$M$2941,5,0)</f>
        <v>28.802663848920858</v>
      </c>
      <c r="H190" s="37">
        <f t="shared" si="2"/>
        <v>0.19733615107914204</v>
      </c>
      <c r="I190" s="36">
        <v>29</v>
      </c>
      <c r="J190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0.20189170517241384</v>
      </c>
      <c r="K190" s="53">
        <f>Tabela25[[#This Row],[PREÇO PRATICADO]]*Tabela25[[#This Row],[LUCRO REAL %]]</f>
        <v>5.8548594500000011</v>
      </c>
      <c r="L190" s="38"/>
      <c r="M190" s="67">
        <f>IF(Tabela25[[#This Row],[QUANT. VENDA]]=0,0,((Tabela25[[#This Row],[CUSTO]]*Tabela25[[#This Row],[QUANT. VENDA]])/(Tabela25[[#This Row],[QUANT. VENDA]]*Tabela25[[#This Row],[PREÇO PRATICADO]])))</f>
        <v>0</v>
      </c>
      <c r="N190" s="39">
        <f>VLOOKUP(Tabela25[[#This Row],[CÓDIGO]],'[1]Estrutura Loja'!$B$3:$E$1825,4,0)</f>
        <v>8.007140549999999</v>
      </c>
      <c r="O190" s="39">
        <f>Tabela25[[#This Row],[QUANT. VENDA]]*Tabela25[[#This Row],[PREÇO PRATICADO]]</f>
        <v>0</v>
      </c>
      <c r="P190" s="39">
        <f>Tabela25[[#This Row],[QUANT. VENDA]]*Tabela25[[#This Row],[CUSTO]]</f>
        <v>0</v>
      </c>
      <c r="Q190" s="49">
        <f>Tabela25[[#This Row],[CUSTO]]/Tabela25[[#This Row],[PREÇO PRATICADO]]</f>
        <v>0.2761082948275862</v>
      </c>
      <c r="R190" s="40"/>
      <c r="S190" s="40"/>
      <c r="T190" s="40"/>
    </row>
    <row r="191" spans="1:20" x14ac:dyDescent="0.3">
      <c r="A191" s="42">
        <v>120700001</v>
      </c>
      <c r="B191" s="28">
        <v>1207</v>
      </c>
      <c r="C191" s="28" t="str">
        <f>VLOOKUP(Tabela25[[#This Row],[GRUPO]],[1]Produto!H308:I613,2,0)</f>
        <v>Linha Café</v>
      </c>
      <c r="D191" s="43" t="s">
        <v>213</v>
      </c>
      <c r="E191" s="36">
        <v>23</v>
      </c>
      <c r="F191" s="36">
        <v>25</v>
      </c>
      <c r="G191" s="21">
        <f>VLOOKUP(Tabela25[[#This Row],[CÓDIGO]],'[1]Estrutura Loja'!$B$3:$M$2941,5,0)</f>
        <v>26.487566978417266</v>
      </c>
      <c r="H191" s="37">
        <f t="shared" si="2"/>
        <v>-3.4875669784172665</v>
      </c>
      <c r="I191" s="36">
        <v>23</v>
      </c>
      <c r="J19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0.15784592956521734</v>
      </c>
      <c r="K191" s="46">
        <f>Tabela25[[#This Row],[PREÇO PRATICADO]]*Tabela25[[#This Row],[LUCRO REAL %]]</f>
        <v>3.6304563799999987</v>
      </c>
      <c r="L191" s="24"/>
      <c r="M191" s="54">
        <f>IF(Tabela25[[#This Row],[QUANT. VENDA]]=0,0,((Tabela25[[#This Row],[CUSTO]]*Tabela25[[#This Row],[QUANT. VENDA]])/(Tabela25[[#This Row],[QUANT. VENDA]]*Tabela25[[#This Row],[PREÇO PRATICADO]])))</f>
        <v>0</v>
      </c>
      <c r="N191" s="39">
        <f>VLOOKUP(Tabela25[[#This Row],[CÓDIGO]],'[1]Estrutura Loja'!$B$3:$E$1825,4,0)</f>
        <v>7.3635436200000006</v>
      </c>
      <c r="O191" s="39">
        <f>Tabela25[[#This Row],[QUANT. VENDA]]*Tabela25[[#This Row],[PREÇO PRATICADO]]</f>
        <v>0</v>
      </c>
      <c r="P191" s="39">
        <f>Tabela25[[#This Row],[QUANT. VENDA]]*Tabela25[[#This Row],[CUSTO]]</f>
        <v>0</v>
      </c>
      <c r="Q191" s="49">
        <f>Tabela25[[#This Row],[CUSTO]]/Tabela25[[#This Row],[PREÇO PRATICADO]]</f>
        <v>0.32015407043478261</v>
      </c>
      <c r="R191" s="40"/>
      <c r="S191" s="40"/>
      <c r="T191" s="40"/>
    </row>
    <row r="192" spans="1:20" x14ac:dyDescent="0.3">
      <c r="A192" s="42">
        <v>120700002</v>
      </c>
      <c r="B192" s="28">
        <v>1207</v>
      </c>
      <c r="C192" s="28" t="str">
        <f>VLOOKUP(Tabela25[[#This Row],[GRUPO]],[1]Produto!H307:I612,2,0)</f>
        <v>Linha Café</v>
      </c>
      <c r="D192" s="43" t="s">
        <v>214</v>
      </c>
      <c r="E192" s="36">
        <v>20</v>
      </c>
      <c r="F192" s="36">
        <v>22</v>
      </c>
      <c r="G192" s="21">
        <f>VLOOKUP(Tabela25[[#This Row],[CÓDIGO]],'[1]Estrutura Loja'!$B$3:$M$2941,5,0)</f>
        <v>21.174022913669063</v>
      </c>
      <c r="H192" s="37">
        <f t="shared" si="2"/>
        <v>-1.174022913669063</v>
      </c>
      <c r="I192" s="36">
        <v>20</v>
      </c>
      <c r="J19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0.18368108149999993</v>
      </c>
      <c r="K192" s="46">
        <f>Tabela25[[#This Row],[PREÇO PRATICADO]]*Tabela25[[#This Row],[LUCRO REAL %]]</f>
        <v>3.6736216299999986</v>
      </c>
      <c r="L192" s="24"/>
      <c r="M192" s="54">
        <f>IF(Tabela25[[#This Row],[QUANT. VENDA]]=0,0,((Tabela25[[#This Row],[CUSTO]]*Tabela25[[#This Row],[QUANT. VENDA]])/(Tabela25[[#This Row],[QUANT. VENDA]]*Tabela25[[#This Row],[PREÇO PRATICADO]])))</f>
        <v>0</v>
      </c>
      <c r="N192" s="39">
        <f>VLOOKUP(Tabela25[[#This Row],[CÓDIGO]],'[1]Estrutura Loja'!$B$3:$E$1825,4,0)</f>
        <v>5.8863783700000001</v>
      </c>
      <c r="O192" s="39">
        <f>Tabela25[[#This Row],[QUANT. VENDA]]*Tabela25[[#This Row],[PREÇO PRATICADO]]</f>
        <v>0</v>
      </c>
      <c r="P192" s="39">
        <f>Tabela25[[#This Row],[QUANT. VENDA]]*Tabela25[[#This Row],[CUSTO]]</f>
        <v>0</v>
      </c>
      <c r="Q192" s="49">
        <f>Tabela25[[#This Row],[CUSTO]]/Tabela25[[#This Row],[PREÇO PRATICADO]]</f>
        <v>0.29431891850000003</v>
      </c>
      <c r="R192" s="40"/>
      <c r="S192" s="40"/>
      <c r="T192" s="40"/>
    </row>
    <row r="193" spans="1:17" x14ac:dyDescent="0.3">
      <c r="A193" s="42">
        <v>120700003</v>
      </c>
      <c r="B193" s="28">
        <v>1207</v>
      </c>
      <c r="C193" s="28" t="str">
        <f>VLOOKUP(Tabela25[[#This Row],[GRUPO]],[1]Produto!H310:I615,2,0)</f>
        <v>Linha Café</v>
      </c>
      <c r="D193" s="43" t="s">
        <v>215</v>
      </c>
      <c r="E193" s="36">
        <v>18</v>
      </c>
      <c r="F193" s="36">
        <v>20</v>
      </c>
      <c r="G193" s="21">
        <f>VLOOKUP(Tabela25[[#This Row],[CÓDIGO]],'[1]Estrutura Loja'!$B$3:$M$2941,5,0)</f>
        <v>18.820448273381295</v>
      </c>
      <c r="H193" s="37">
        <f t="shared" si="2"/>
        <v>-0.82044827338129522</v>
      </c>
      <c r="I193" s="36">
        <v>18</v>
      </c>
      <c r="J19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0.18732863222222218</v>
      </c>
      <c r="K193" s="46">
        <f>Tabela25[[#This Row],[PREÇO PRATICADO]]*Tabela25[[#This Row],[LUCRO REAL %]]</f>
        <v>3.371915379999999</v>
      </c>
      <c r="L193" s="24"/>
      <c r="M193" s="54">
        <f>IF(Tabela25[[#This Row],[QUANT. VENDA]]=0,0,((Tabela25[[#This Row],[CUSTO]]*Tabela25[[#This Row],[QUANT. VENDA]])/(Tabela25[[#This Row],[QUANT. VENDA]]*Tabela25[[#This Row],[PREÇO PRATICADO]])))</f>
        <v>0</v>
      </c>
      <c r="N193" s="39">
        <f>VLOOKUP(Tabela25[[#This Row],[CÓDIGO]],'[1]Estrutura Loja'!$B$3:$E$1825,4,0)</f>
        <v>5.2320846200000002</v>
      </c>
      <c r="O193" s="39">
        <f>Tabela25[[#This Row],[QUANT. VENDA]]*Tabela25[[#This Row],[PREÇO PRATICADO]]</f>
        <v>0</v>
      </c>
      <c r="P193" s="39">
        <f>Tabela25[[#This Row],[QUANT. VENDA]]*Tabela25[[#This Row],[CUSTO]]</f>
        <v>0</v>
      </c>
      <c r="Q193" s="49">
        <f>Tabela25[[#This Row],[CUSTO]]/Tabela25[[#This Row],[PREÇO PRATICADO]]</f>
        <v>0.2906713677777778</v>
      </c>
    </row>
    <row r="194" spans="1:17" x14ac:dyDescent="0.3">
      <c r="A194" s="42">
        <v>120700005</v>
      </c>
      <c r="B194" s="28">
        <v>1207</v>
      </c>
      <c r="C194" s="28" t="str">
        <f>VLOOKUP(Tabela25[[#This Row],[GRUPO]],[1]Produto!H305:I610,2,0)</f>
        <v>Linha Café</v>
      </c>
      <c r="D194" s="43" t="s">
        <v>216</v>
      </c>
      <c r="E194" s="36">
        <v>5</v>
      </c>
      <c r="F194" s="36">
        <v>9</v>
      </c>
      <c r="G194" s="21">
        <f>VLOOKUP(Tabela25[[#This Row],[CÓDIGO]],'[1]Estrutura Loja'!$B$3:$M$2941,5,0)</f>
        <v>5.1282407407407398</v>
      </c>
      <c r="H194" s="37">
        <f t="shared" si="2"/>
        <v>-0.12824074074073977</v>
      </c>
      <c r="I194" s="44">
        <v>5</v>
      </c>
      <c r="J194" s="22">
        <f>(Tabela25[[#This Row],[PREÇO PRATICADO]]-((Tabela25[[#This Row],[PREÇO PRATICADO]])*([1]Informações!$H$6+[1]Informações!$H$19+[1]Informações!$H$20))-Tabela25[[#This Row],[CUSTO]])/Tabela25[[#This Row],[PREÇO PRATICADO]]</f>
        <v>0.1833800000000001</v>
      </c>
      <c r="K194" s="46">
        <f>Tabela25[[#This Row],[PREÇO PRATICADO]]*Tabela25[[#This Row],[LUCRO REAL %]]</f>
        <v>0.91690000000000049</v>
      </c>
      <c r="L194" s="24"/>
      <c r="M194" s="54">
        <f>IF(Tabela25[[#This Row],[QUANT. VENDA]]=0,0,((Tabela25[[#This Row],[CUSTO]]*Tabela25[[#This Row],[QUANT. VENDA]])/(Tabela25[[#This Row],[QUANT. VENDA]]*Tabela25[[#This Row],[PREÇO PRATICADO]])))</f>
        <v>0</v>
      </c>
      <c r="N194" s="39">
        <f>VLOOKUP(Tabela25[[#This Row],[CÓDIGO]],'[1]Estrutura Loja'!$B$3:$E$1825,4,0)</f>
        <v>3.3230999999999997</v>
      </c>
      <c r="O194" s="39">
        <f>Tabela25[[#This Row],[QUANT. VENDA]]*Tabela25[[#This Row],[PREÇO PRATICADO]]</f>
        <v>0</v>
      </c>
      <c r="P194" s="39">
        <f>Tabela25[[#This Row],[QUANT. VENDA]]*Tabela25[[#This Row],[CUSTO]]</f>
        <v>0</v>
      </c>
      <c r="Q194" s="49">
        <f>Tabela25[[#This Row],[CUSTO]]/Tabela25[[#This Row],[PREÇO PRATICADO]]</f>
        <v>0.66461999999999999</v>
      </c>
    </row>
    <row r="195" spans="1:17" x14ac:dyDescent="0.3">
      <c r="A195" s="42">
        <v>120700006</v>
      </c>
      <c r="B195" s="28">
        <v>1207</v>
      </c>
      <c r="C195" s="28" t="str">
        <f>VLOOKUP(Tabela25[[#This Row],[GRUPO]],[1]Produto!H306:I611,2,0)</f>
        <v>Linha Café</v>
      </c>
      <c r="D195" s="43" t="s">
        <v>217</v>
      </c>
      <c r="E195" s="36">
        <v>6</v>
      </c>
      <c r="F195" s="36">
        <v>10</v>
      </c>
      <c r="G195" s="21">
        <f>VLOOKUP(Tabela25[[#This Row],[CÓDIGO]],'[1]Estrutura Loja'!$B$3:$M$2941,5,0)</f>
        <v>6.1011414990837185</v>
      </c>
      <c r="H195" s="37">
        <f t="shared" si="2"/>
        <v>-0.1011414990837185</v>
      </c>
      <c r="I195" s="44">
        <v>6</v>
      </c>
      <c r="J195" s="22">
        <f>(Tabela25[[#This Row],[PREÇO PRATICADO]]-((Tabela25[[#This Row],[PREÇO PRATICADO]])*([1]Informações!$H$6+[1]Informações!$H$19+[1]Informações!$H$20))-Tabela25[[#This Row],[CUSTO]])/Tabela25[[#This Row],[PREÇO PRATICADO]]</f>
        <v>0.1890767180989584</v>
      </c>
      <c r="K195" s="46">
        <f>Tabela25[[#This Row],[PREÇO PRATICADO]]*Tabela25[[#This Row],[LUCRO REAL %]]</f>
        <v>1.1344603085937504</v>
      </c>
      <c r="L195" s="24"/>
      <c r="M195" s="54">
        <f>IF(Tabela25[[#This Row],[QUANT. VENDA]]=0,0,((Tabela25[[#This Row],[CUSTO]]*Tabela25[[#This Row],[QUANT. VENDA]])/(Tabela25[[#This Row],[QUANT. VENDA]]*Tabela25[[#This Row],[PREÇO PRATICADO]])))</f>
        <v>0</v>
      </c>
      <c r="N195" s="39">
        <f>VLOOKUP(Tabela25[[#This Row],[CÓDIGO]],'[1]Estrutura Loja'!$B$3:$E$1825,4,0)</f>
        <v>3.9535396914062497</v>
      </c>
      <c r="O195" s="39">
        <f>Tabela25[[#This Row],[QUANT. VENDA]]*Tabela25[[#This Row],[PREÇO PRATICADO]]</f>
        <v>0</v>
      </c>
      <c r="P195" s="39">
        <f>Tabela25[[#This Row],[QUANT. VENDA]]*Tabela25[[#This Row],[CUSTO]]</f>
        <v>0</v>
      </c>
      <c r="Q195" s="49">
        <f>Tabela25[[#This Row],[CUSTO]]/Tabela25[[#This Row],[PREÇO PRATICADO]]</f>
        <v>0.65892328190104166</v>
      </c>
    </row>
    <row r="196" spans="1:17" x14ac:dyDescent="0.3">
      <c r="A196" s="42">
        <v>120700007</v>
      </c>
      <c r="B196" s="28">
        <v>1207</v>
      </c>
      <c r="C196" s="34" t="str">
        <f>VLOOKUP(Tabela25[[#This Row],[GRUPO]],[1]Produto!H197:I556,2,0)</f>
        <v>Linha Café</v>
      </c>
      <c r="D196" s="51" t="s">
        <v>218</v>
      </c>
      <c r="E196" s="36">
        <v>23</v>
      </c>
      <c r="F196" s="36">
        <v>25</v>
      </c>
      <c r="G196" s="37">
        <f>VLOOKUP(Tabela25[[#This Row],[CÓDIGO]],'[1]Estrutura Loja'!$B$3:$M$2941,5,0)</f>
        <v>25.533218057553956</v>
      </c>
      <c r="H196" s="37">
        <f t="shared" si="2"/>
        <v>-2.533218057553956</v>
      </c>
      <c r="I196" s="36">
        <v>23</v>
      </c>
      <c r="J196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0.16938110347826085</v>
      </c>
      <c r="K196" s="53">
        <f>Tabela25[[#This Row],[PREÇO PRATICADO]]*Tabela25[[#This Row],[LUCRO REAL %]]</f>
        <v>3.8957653799999994</v>
      </c>
      <c r="L196" s="38"/>
      <c r="M196" s="54">
        <f>IF(Tabela25[[#This Row],[QUANT. VENDA]]=0,0,((Tabela25[[#This Row],[CUSTO]]*Tabela25[[#This Row],[QUANT. VENDA]])/(Tabela25[[#This Row],[QUANT. VENDA]]*Tabela25[[#This Row],[PREÇO PRATICADO]])))</f>
        <v>0</v>
      </c>
      <c r="N196" s="39">
        <f>VLOOKUP(Tabela25[[#This Row],[CÓDIGO]],'[1]Estrutura Loja'!$B$3:$E$1825,4,0)</f>
        <v>7.0982346200000004</v>
      </c>
      <c r="O196" s="39">
        <f>Tabela25[[#This Row],[QUANT. VENDA]]*Tabela25[[#This Row],[PREÇO PRATICADO]]</f>
        <v>0</v>
      </c>
      <c r="P196" s="39">
        <f>Tabela25[[#This Row],[QUANT. VENDA]]*Tabela25[[#This Row],[CUSTO]]</f>
        <v>0</v>
      </c>
      <c r="Q196" s="49">
        <f>Tabela25[[#This Row],[CUSTO]]/Tabela25[[#This Row],[PREÇO PRATICADO]]</f>
        <v>0.30861889652173913</v>
      </c>
    </row>
    <row r="197" spans="1:17" x14ac:dyDescent="0.3">
      <c r="A197" s="42">
        <v>120700008</v>
      </c>
      <c r="B197" s="28">
        <v>1207</v>
      </c>
      <c r="C197" s="34" t="str">
        <f>VLOOKUP(Tabela25[[#This Row],[GRUPO]],[1]Produto!H197:I556,2,0)</f>
        <v>Linha Café</v>
      </c>
      <c r="D197" s="51" t="s">
        <v>219</v>
      </c>
      <c r="E197" s="36">
        <v>20</v>
      </c>
      <c r="F197" s="36">
        <v>22</v>
      </c>
      <c r="G197" s="37">
        <f>VLOOKUP(Tabela25[[#This Row],[CÓDIGO]],'[1]Estrutura Loja'!$B$3:$M$2941,5,0)</f>
        <v>22.143974143279436</v>
      </c>
      <c r="H197" s="37">
        <f t="shared" ref="H197:H260" si="3">E197-G197</f>
        <v>-2.1439741432794364</v>
      </c>
      <c r="I197" s="36">
        <v>20</v>
      </c>
      <c r="J197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0.17019875940841572</v>
      </c>
      <c r="K197" s="53">
        <f>Tabela25[[#This Row],[PREÇO PRATICADO]]*Tabela25[[#This Row],[LUCRO REAL %]]</f>
        <v>3.4039751881683147</v>
      </c>
      <c r="L197" s="38"/>
      <c r="M197" s="54">
        <f>IF(Tabela25[[#This Row],[QUANT. VENDA]]=0,0,((Tabela25[[#This Row],[CUSTO]]*Tabela25[[#This Row],[QUANT. VENDA]])/(Tabela25[[#This Row],[QUANT. VENDA]]*Tabela25[[#This Row],[PREÇO PRATICADO]])))</f>
        <v>0</v>
      </c>
      <c r="N197" s="39">
        <f>VLOOKUP(Tabela25[[#This Row],[CÓDIGO]],'[1]Estrutura Loja'!$B$3:$E$1825,4,0)</f>
        <v>6.156024811831684</v>
      </c>
      <c r="O197" s="39">
        <f>Tabela25[[#This Row],[QUANT. VENDA]]*Tabela25[[#This Row],[PREÇO PRATICADO]]</f>
        <v>0</v>
      </c>
      <c r="P197" s="39">
        <f>Tabela25[[#This Row],[QUANT. VENDA]]*Tabela25[[#This Row],[CUSTO]]</f>
        <v>0</v>
      </c>
      <c r="Q197" s="49">
        <f>Tabela25[[#This Row],[CUSTO]]/Tabela25[[#This Row],[PREÇO PRATICADO]]</f>
        <v>0.3078012405915842</v>
      </c>
    </row>
    <row r="198" spans="1:17" x14ac:dyDescent="0.3">
      <c r="A198" s="85">
        <v>101100003</v>
      </c>
      <c r="B198" s="28">
        <v>1011</v>
      </c>
      <c r="C198" s="28" t="str">
        <f>VLOOKUP(Tabela25[[#This Row],[GRUPO]],[1]Produto!H138:I508,2,0)</f>
        <v>Mix Fruit</v>
      </c>
      <c r="D198" s="43" t="s">
        <v>220</v>
      </c>
      <c r="E198" s="44">
        <v>12</v>
      </c>
      <c r="F198" s="44">
        <v>14</v>
      </c>
      <c r="G198" s="21">
        <f>VLOOKUP(Tabela25[[#This Row],[CÓDIGO]],'[1]Estrutura Loja'!$B$3:$M$2941,5,0)</f>
        <v>13.638045539129671</v>
      </c>
      <c r="H198" s="45">
        <f t="shared" si="3"/>
        <v>-1.6380455391296707</v>
      </c>
      <c r="I198" s="44">
        <v>12</v>
      </c>
      <c r="J19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0.1620519450101626</v>
      </c>
      <c r="K198" s="46">
        <f>Tabela25[[#This Row],[PREÇO PRATICADO]]*Tabela25[[#This Row],[LUCRO REAL %]]</f>
        <v>1.944623340121951</v>
      </c>
      <c r="L198" s="24"/>
      <c r="M198" s="54">
        <f>IF(Tabela25[[#This Row],[QUANT. VENDA]]=0,0,((Tabela25[[#This Row],[CUSTO]]*Tabela25[[#This Row],[QUANT. VENDA]])/(Tabela25[[#This Row],[QUANT. VENDA]]*Tabela25[[#This Row],[PREÇO PRATICADO]])))</f>
        <v>0</v>
      </c>
      <c r="N198" s="48">
        <f>VLOOKUP(Tabela25[[#This Row],[CÓDIGO]],'[1]Estrutura Loja'!$B$3:$E$1825,4,0)</f>
        <v>3.7913766598780487</v>
      </c>
      <c r="O198" s="48">
        <f>Tabela25[[#This Row],[QUANT. VENDA]]*Tabela25[[#This Row],[PREÇO PRATICADO]]</f>
        <v>0</v>
      </c>
      <c r="P198" s="48">
        <f>Tabela25[[#This Row],[QUANT. VENDA]]*Tabela25[[#This Row],[CUSTO]]</f>
        <v>0</v>
      </c>
      <c r="Q198" s="49">
        <f>Tabela25[[#This Row],[CUSTO]]/Tabela25[[#This Row],[PREÇO PRATICADO]]</f>
        <v>0.31594805498983741</v>
      </c>
    </row>
    <row r="199" spans="1:17" x14ac:dyDescent="0.3">
      <c r="A199" s="85">
        <v>101100004</v>
      </c>
      <c r="B199" s="28">
        <v>1011</v>
      </c>
      <c r="C199" s="28" t="str">
        <f>VLOOKUP(Tabela25[[#This Row],[GRUPO]],[1]Produto!H138:I509,2,0)</f>
        <v>Mix Fruit</v>
      </c>
      <c r="D199" s="43" t="s">
        <v>221</v>
      </c>
      <c r="E199" s="44">
        <v>12</v>
      </c>
      <c r="F199" s="44">
        <v>14</v>
      </c>
      <c r="G199" s="21">
        <f>VLOOKUP(Tabela25[[#This Row],[CÓDIGO]],'[1]Estrutura Loja'!$B$3:$M$2941,5,0)</f>
        <v>9.6621988993683097</v>
      </c>
      <c r="H199" s="45">
        <f t="shared" si="3"/>
        <v>2.3378011006316903</v>
      </c>
      <c r="I199" s="44">
        <v>12</v>
      </c>
      <c r="J19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0.2541590588313008</v>
      </c>
      <c r="K199" s="46">
        <f>Tabela25[[#This Row],[PREÇO PRATICADO]]*Tabela25[[#This Row],[LUCRO REAL %]]</f>
        <v>3.0499087059756098</v>
      </c>
      <c r="L199" s="24"/>
      <c r="M199" s="54">
        <f>IF(Tabela25[[#This Row],[QUANT. VENDA]]=0,0,((Tabela25[[#This Row],[CUSTO]]*Tabela25[[#This Row],[QUANT. VENDA]])/(Tabela25[[#This Row],[QUANT. VENDA]]*Tabela25[[#This Row],[PREÇO PRATICADO]])))</f>
        <v>0</v>
      </c>
      <c r="N199" s="48">
        <f>VLOOKUP(Tabela25[[#This Row],[CÓDIGO]],'[1]Estrutura Loja'!$B$3:$E$1825,4,0)</f>
        <v>2.6860912940243904</v>
      </c>
      <c r="O199" s="48">
        <f>Tabela25[[#This Row],[QUANT. VENDA]]*Tabela25[[#This Row],[PREÇO PRATICADO]]</f>
        <v>0</v>
      </c>
      <c r="P199" s="48">
        <f>Tabela25[[#This Row],[QUANT. VENDA]]*Tabela25[[#This Row],[CUSTO]]</f>
        <v>0</v>
      </c>
      <c r="Q199" s="49">
        <f>Tabela25[[#This Row],[CUSTO]]/Tabela25[[#This Row],[PREÇO PRATICADO]]</f>
        <v>0.22384094116869921</v>
      </c>
    </row>
    <row r="200" spans="1:17" s="86" customFormat="1" x14ac:dyDescent="0.3">
      <c r="A200" s="85">
        <v>101100005</v>
      </c>
      <c r="B200" s="28">
        <v>1011</v>
      </c>
      <c r="C200" s="28" t="str">
        <f>VLOOKUP(Tabela25[[#This Row],[GRUPO]],[1]Produto!H138:I510,2,0)</f>
        <v>Mix Fruit</v>
      </c>
      <c r="D200" s="43" t="s">
        <v>222</v>
      </c>
      <c r="E200" s="44">
        <v>12</v>
      </c>
      <c r="F200" s="44">
        <v>14</v>
      </c>
      <c r="G200" s="21">
        <f>VLOOKUP(Tabela25[[#This Row],[CÓDIGO]],'[1]Estrutura Loja'!$B$3:$M$2941,5,0)</f>
        <v>12.204772157834707</v>
      </c>
      <c r="H200" s="45">
        <f t="shared" si="3"/>
        <v>-0.20477215783470726</v>
      </c>
      <c r="I200" s="44">
        <v>12</v>
      </c>
      <c r="J20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0.19525611167682924</v>
      </c>
      <c r="K200" s="46">
        <f>Tabela25[[#This Row],[PREÇO PRATICADO]]*Tabela25[[#This Row],[LUCRO REAL %]]</f>
        <v>2.343073340121951</v>
      </c>
      <c r="L200" s="24"/>
      <c r="M200" s="54">
        <f>IF(Tabela25[[#This Row],[QUANT. VENDA]]=0,0,((Tabela25[[#This Row],[CUSTO]]*Tabela25[[#This Row],[QUANT. VENDA]])/(Tabela25[[#This Row],[QUANT. VENDA]]*Tabela25[[#This Row],[PREÇO PRATICADO]])))</f>
        <v>0</v>
      </c>
      <c r="N200" s="48">
        <f>VLOOKUP(Tabela25[[#This Row],[CÓDIGO]],'[1]Estrutura Loja'!$B$3:$E$1825,4,0)</f>
        <v>3.3929266598780488</v>
      </c>
      <c r="O200" s="48">
        <f>Tabela25[[#This Row],[QUANT. VENDA]]*Tabela25[[#This Row],[PREÇO PRATICADO]]</f>
        <v>0</v>
      </c>
      <c r="P200" s="48">
        <f>Tabela25[[#This Row],[QUANT. VENDA]]*Tabela25[[#This Row],[CUSTO]]</f>
        <v>0</v>
      </c>
      <c r="Q200" s="49">
        <f>Tabela25[[#This Row],[CUSTO]]/Tabela25[[#This Row],[PREÇO PRATICADO]]</f>
        <v>0.28274388832317071</v>
      </c>
    </row>
    <row r="201" spans="1:17" s="86" customFormat="1" x14ac:dyDescent="0.3">
      <c r="A201" s="91">
        <v>100300084</v>
      </c>
      <c r="B201" s="28">
        <v>1023</v>
      </c>
      <c r="C201" s="28" t="s">
        <v>223</v>
      </c>
      <c r="D201" s="51" t="s">
        <v>224</v>
      </c>
      <c r="E201" s="36">
        <v>18</v>
      </c>
      <c r="F201" s="36">
        <v>20</v>
      </c>
      <c r="G201" s="37">
        <f>VLOOKUP(Tabela25[[#This Row],[CÓDIGO]],'[1]Estrutura Loja'!$B$3:$M$2941,5,0)</f>
        <v>17.535808385291766</v>
      </c>
      <c r="H201" s="37">
        <f t="shared" si="3"/>
        <v>0.46419161470823411</v>
      </c>
      <c r="I201" s="36">
        <v>18</v>
      </c>
      <c r="J201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0.20716918160493825</v>
      </c>
      <c r="K201" s="53">
        <f>Tabela25[[#This Row],[PREÇO PRATICADO]]*Tabela25[[#This Row],[LUCRO REAL %]]</f>
        <v>3.7290452688888882</v>
      </c>
      <c r="L201" s="38"/>
      <c r="M201" s="67">
        <f>IF(Tabela25[[#This Row],[QUANT. VENDA]]=0,0,((Tabela25[[#This Row],[CUSTO]]*Tabela25[[#This Row],[QUANT. VENDA]])/(Tabela25[[#This Row],[QUANT. VENDA]]*Tabela25[[#This Row],[PREÇO PRATICADO]])))</f>
        <v>0</v>
      </c>
      <c r="N201" s="48">
        <f>VLOOKUP(Tabela25[[#This Row],[CÓDIGO]],'[1]Estrutura Loja'!$B$3:$E$1825,4,0)</f>
        <v>4.874954731111111</v>
      </c>
      <c r="O201" s="39">
        <f>Tabela25[[#This Row],[QUANT. VENDA]]*Tabela25[[#This Row],[PREÇO PRATICADO]]</f>
        <v>0</v>
      </c>
      <c r="P201" s="39">
        <f>Tabela25[[#This Row],[QUANT. VENDA]]*Tabela25[[#This Row],[CUSTO]]</f>
        <v>0</v>
      </c>
      <c r="Q201" s="49">
        <f>Tabela25[[#This Row],[CUSTO]]/Tabela25[[#This Row],[PREÇO PRATICADO]]</f>
        <v>0.27083081839506173</v>
      </c>
    </row>
    <row r="202" spans="1:17" s="86" customFormat="1" x14ac:dyDescent="0.3">
      <c r="A202" s="91">
        <v>100300083</v>
      </c>
      <c r="B202" s="28">
        <v>1023</v>
      </c>
      <c r="C202" s="28" t="s">
        <v>223</v>
      </c>
      <c r="D202" s="51" t="s">
        <v>225</v>
      </c>
      <c r="E202" s="36">
        <v>18</v>
      </c>
      <c r="F202" s="36">
        <v>20</v>
      </c>
      <c r="G202" s="37">
        <f>VLOOKUP(Tabela25[[#This Row],[CÓDIGO]],'[1]Estrutura Loja'!$B$3:$M$2941,5,0)</f>
        <v>17.164249308502562</v>
      </c>
      <c r="H202" s="37">
        <f t="shared" si="3"/>
        <v>0.83575069149743797</v>
      </c>
      <c r="I202" s="36">
        <v>18</v>
      </c>
      <c r="J202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0.21290770512423812</v>
      </c>
      <c r="K202" s="53">
        <f>Tabela25[[#This Row],[PREÇO PRATICADO]]*Tabela25[[#This Row],[LUCRO REAL %]]</f>
        <v>3.8323386922362861</v>
      </c>
      <c r="L202" s="38"/>
      <c r="M202" s="54">
        <f>IF(Tabela25[[#This Row],[QUANT. VENDA]]=0,0,((Tabela25[[#This Row],[CUSTO]]*Tabela25[[#This Row],[QUANT. VENDA]])/(Tabela25[[#This Row],[QUANT. VENDA]]*Tabela25[[#This Row],[PREÇO PRATICADO]])))</f>
        <v>0</v>
      </c>
      <c r="N202" s="48">
        <f>VLOOKUP(Tabela25[[#This Row],[CÓDIGO]],'[1]Estrutura Loja'!$B$3:$E$1825,4,0)</f>
        <v>4.7716613077637131</v>
      </c>
      <c r="O202" s="39">
        <f>Tabela25[[#This Row],[QUANT. VENDA]]*Tabela25[[#This Row],[PREÇO PRATICADO]]</f>
        <v>0</v>
      </c>
      <c r="P202" s="39">
        <f>Tabela25[[#This Row],[QUANT. VENDA]]*Tabela25[[#This Row],[CUSTO]]</f>
        <v>0</v>
      </c>
      <c r="Q202" s="49">
        <f>Tabela25[[#This Row],[CUSTO]]/Tabela25[[#This Row],[PREÇO PRATICADO]]</f>
        <v>0.26509229487576186</v>
      </c>
    </row>
    <row r="203" spans="1:17" s="86" customFormat="1" x14ac:dyDescent="0.3">
      <c r="A203" s="85">
        <v>100300047</v>
      </c>
      <c r="B203" s="28">
        <v>1023</v>
      </c>
      <c r="C203" s="28" t="s">
        <v>223</v>
      </c>
      <c r="D203" s="43" t="s">
        <v>226</v>
      </c>
      <c r="E203" s="36">
        <v>15</v>
      </c>
      <c r="F203" s="44">
        <v>16</v>
      </c>
      <c r="G203" s="21">
        <f>VLOOKUP(Tabela25[[#This Row],[CÓDIGO]],'[1]Estrutura Loja'!$B$3:$M$2941,5,0)</f>
        <v>13.19786978417266</v>
      </c>
      <c r="H203" s="45">
        <f t="shared" si="3"/>
        <v>1.80213021582734</v>
      </c>
      <c r="I203" s="36">
        <v>15</v>
      </c>
      <c r="J20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0.23339948000000002</v>
      </c>
      <c r="K203" s="46">
        <f>Tabela25[[#This Row],[PREÇO PRATICADO]]*Tabela25[[#This Row],[LUCRO REAL %]]</f>
        <v>3.5009922000000002</v>
      </c>
      <c r="L203" s="24"/>
      <c r="M203" s="54">
        <f>IF(Tabela25[[#This Row],[QUANT. VENDA]]=0,0,((Tabela25[[#This Row],[CUSTO]]*Tabela25[[#This Row],[QUANT. VENDA]])/(Tabela25[[#This Row],[QUANT. VENDA]]*Tabela25[[#This Row],[PREÇO PRATICADO]])))</f>
        <v>0</v>
      </c>
      <c r="N203" s="48">
        <f>VLOOKUP(Tabela25[[#This Row],[CÓDIGO]],'[1]Estrutura Loja'!$B$3:$E$1825,4,0)</f>
        <v>3.6690077999999997</v>
      </c>
      <c r="O203" s="48">
        <f>Tabela25[[#This Row],[QUANT. VENDA]]*Tabela25[[#This Row],[PREÇO PRATICADO]]</f>
        <v>0</v>
      </c>
      <c r="P203" s="48">
        <f>Tabela25[[#This Row],[QUANT. VENDA]]*Tabela25[[#This Row],[CUSTO]]</f>
        <v>0</v>
      </c>
      <c r="Q203" s="49">
        <f>Tabela25[[#This Row],[CUSTO]]/Tabela25[[#This Row],[PREÇO PRATICADO]]</f>
        <v>0.24460051999999999</v>
      </c>
    </row>
    <row r="204" spans="1:17" s="86" customFormat="1" x14ac:dyDescent="0.3">
      <c r="A204" s="91">
        <v>100300085</v>
      </c>
      <c r="B204" s="28">
        <v>1023</v>
      </c>
      <c r="C204" s="28" t="s">
        <v>223</v>
      </c>
      <c r="D204" s="51" t="s">
        <v>227</v>
      </c>
      <c r="E204" s="36">
        <v>23</v>
      </c>
      <c r="F204" s="36">
        <v>25</v>
      </c>
      <c r="G204" s="37">
        <f>VLOOKUP(Tabela25[[#This Row],[CÓDIGO]],'[1]Estrutura Loja'!$B$3:$M$2941,5,0)</f>
        <v>23.066095755395683</v>
      </c>
      <c r="H204" s="37">
        <f t="shared" si="3"/>
        <v>-6.6095755395682687E-2</v>
      </c>
      <c r="I204" s="36">
        <v>23</v>
      </c>
      <c r="J204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0.19920110347826084</v>
      </c>
      <c r="K204" s="53">
        <f>Tabela25[[#This Row],[PREÇO PRATICADO]]*Tabela25[[#This Row],[LUCRO REAL %]]</f>
        <v>4.5816253799999993</v>
      </c>
      <c r="L204" s="38"/>
      <c r="M204" s="67">
        <f>IF(Tabela25[[#This Row],[QUANT. VENDA]]=0,0,((Tabela25[[#This Row],[CUSTO]]*Tabela25[[#This Row],[QUANT. VENDA]])/(Tabela25[[#This Row],[QUANT. VENDA]]*Tabela25[[#This Row],[PREÇO PRATICADO]])))</f>
        <v>0</v>
      </c>
      <c r="N204" s="48">
        <f>VLOOKUP(Tabela25[[#This Row],[CÓDIGO]],'[1]Estrutura Loja'!$B$3:$E$1825,4,0)</f>
        <v>6.4123746200000005</v>
      </c>
      <c r="O204" s="39">
        <f>Tabela25[[#This Row],[QUANT. VENDA]]*Tabela25[[#This Row],[PREÇO PRATICADO]]</f>
        <v>0</v>
      </c>
      <c r="P204" s="39">
        <f>Tabela25[[#This Row],[QUANT. VENDA]]*Tabela25[[#This Row],[CUSTO]]</f>
        <v>0</v>
      </c>
      <c r="Q204" s="49">
        <f>Tabela25[[#This Row],[CUSTO]]/Tabela25[[#This Row],[PREÇO PRATICADO]]</f>
        <v>0.27879889652173917</v>
      </c>
    </row>
    <row r="205" spans="1:17" s="86" customFormat="1" x14ac:dyDescent="0.3">
      <c r="A205" s="91">
        <v>100300088</v>
      </c>
      <c r="B205" s="28">
        <v>1023</v>
      </c>
      <c r="C205" s="28" t="s">
        <v>223</v>
      </c>
      <c r="D205" s="51" t="s">
        <v>228</v>
      </c>
      <c r="E205" s="36">
        <v>23</v>
      </c>
      <c r="F205" s="36">
        <v>25</v>
      </c>
      <c r="G205" s="37">
        <f>VLOOKUP(Tabela25[[#This Row],[CÓDIGO]],'[1]Estrutura Loja'!$B$3:$M$2941,5,0)</f>
        <v>22.175034604316544</v>
      </c>
      <c r="H205" s="37">
        <f t="shared" si="3"/>
        <v>0.82496539568345639</v>
      </c>
      <c r="I205" s="36">
        <v>23</v>
      </c>
      <c r="J205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0.20997132086956521</v>
      </c>
      <c r="K205" s="53">
        <f>Tabela25[[#This Row],[PREÇO PRATICADO]]*Tabela25[[#This Row],[LUCRO REAL %]]</f>
        <v>4.8293403799999997</v>
      </c>
      <c r="L205" s="38"/>
      <c r="M205" s="67">
        <f>IF(Tabela25[[#This Row],[QUANT. VENDA]]=0,0,((Tabela25[[#This Row],[CUSTO]]*Tabela25[[#This Row],[QUANT. VENDA]])/(Tabela25[[#This Row],[QUANT. VENDA]]*Tabela25[[#This Row],[PREÇO PRATICADO]])))</f>
        <v>0</v>
      </c>
      <c r="N205" s="48">
        <f>VLOOKUP(Tabela25[[#This Row],[CÓDIGO]],'[1]Estrutura Loja'!$B$3:$E$1825,4,0)</f>
        <v>6.1646596200000001</v>
      </c>
      <c r="O205" s="39">
        <f>Tabela25[[#This Row],[QUANT. VENDA]]*Tabela25[[#This Row],[PREÇO PRATICADO]]</f>
        <v>0</v>
      </c>
      <c r="P205" s="39">
        <f>Tabela25[[#This Row],[QUANT. VENDA]]*Tabela25[[#This Row],[CUSTO]]</f>
        <v>0</v>
      </c>
      <c r="Q205" s="49">
        <f>Tabela25[[#This Row],[CUSTO]]/Tabela25[[#This Row],[PREÇO PRATICADO]]</f>
        <v>0.26802867913043477</v>
      </c>
    </row>
    <row r="206" spans="1:17" s="86" customFormat="1" x14ac:dyDescent="0.3">
      <c r="A206" s="85">
        <v>100300042</v>
      </c>
      <c r="B206" s="28">
        <v>1023</v>
      </c>
      <c r="C206" s="28" t="s">
        <v>223</v>
      </c>
      <c r="D206" s="43" t="s">
        <v>229</v>
      </c>
      <c r="E206" s="36">
        <v>15</v>
      </c>
      <c r="F206" s="44">
        <v>16</v>
      </c>
      <c r="G206" s="21">
        <f>VLOOKUP(Tabela25[[#This Row],[CÓDIGO]],'[1]Estrutura Loja'!$B$3:$M$2941,5,0)</f>
        <v>15.435109116135663</v>
      </c>
      <c r="H206" s="45">
        <f t="shared" si="3"/>
        <v>-0.4351091161356635</v>
      </c>
      <c r="I206" s="36">
        <v>15</v>
      </c>
      <c r="J20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0.19193597771428567</v>
      </c>
      <c r="K206" s="46">
        <f>Tabela25[[#This Row],[PREÇO PRATICADO]]*Tabela25[[#This Row],[LUCRO REAL %]]</f>
        <v>2.8790396657142852</v>
      </c>
      <c r="L206" s="24"/>
      <c r="M206" s="54">
        <f>IF(Tabela25[[#This Row],[QUANT. VENDA]]=0,0,((Tabela25[[#This Row],[CUSTO]]*Tabela25[[#This Row],[QUANT. VENDA]])/(Tabela25[[#This Row],[QUANT. VENDA]]*Tabela25[[#This Row],[PREÇO PRATICADO]])))</f>
        <v>0</v>
      </c>
      <c r="N206" s="48">
        <f>VLOOKUP(Tabela25[[#This Row],[CÓDIGO]],'[1]Estrutura Loja'!$B$3:$E$1825,4,0)</f>
        <v>4.2909603342857148</v>
      </c>
      <c r="O206" s="48">
        <f>Tabela25[[#This Row],[QUANT. VENDA]]*Tabela25[[#This Row],[PREÇO PRATICADO]]</f>
        <v>0</v>
      </c>
      <c r="P206" s="48">
        <f>Tabela25[[#This Row],[QUANT. VENDA]]*Tabela25[[#This Row],[CUSTO]]</f>
        <v>0</v>
      </c>
      <c r="Q206" s="49">
        <f>Tabela25[[#This Row],[CUSTO]]/Tabela25[[#This Row],[PREÇO PRATICADO]]</f>
        <v>0.28606402228571431</v>
      </c>
    </row>
    <row r="207" spans="1:17" s="86" customFormat="1" x14ac:dyDescent="0.3">
      <c r="A207" s="85">
        <v>100300048</v>
      </c>
      <c r="B207" s="28">
        <v>1003</v>
      </c>
      <c r="C207" s="28" t="s">
        <v>223</v>
      </c>
      <c r="D207" s="43" t="s">
        <v>230</v>
      </c>
      <c r="E207" s="44">
        <v>15</v>
      </c>
      <c r="F207" s="44">
        <v>16</v>
      </c>
      <c r="G207" s="21">
        <f>VLOOKUP(Tabela25[[#This Row],[CÓDIGO]],'[1]Estrutura Loja'!$B$3:$M$2941,5,0)</f>
        <v>15.064315179856115</v>
      </c>
      <c r="H207" s="45">
        <f t="shared" si="3"/>
        <v>-6.4315179856114568E-2</v>
      </c>
      <c r="I207" s="44">
        <v>15</v>
      </c>
      <c r="J20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0.1988080253333333</v>
      </c>
      <c r="K207" s="46">
        <f>Tabela25[[#This Row],[PREÇO PRATICADO]]*Tabela25[[#This Row],[LUCRO REAL %]]</f>
        <v>2.9821203799999996</v>
      </c>
      <c r="L207" s="24"/>
      <c r="M207" s="54">
        <f>IF(Tabela25[[#This Row],[QUANT. VENDA]]=0,0,((Tabela25[[#This Row],[CUSTO]]*Tabela25[[#This Row],[QUANT. VENDA]])/(Tabela25[[#This Row],[QUANT. VENDA]]*Tabela25[[#This Row],[PREÇO PRATICADO]])))</f>
        <v>0</v>
      </c>
      <c r="N207" s="48">
        <f>VLOOKUP(Tabela25[[#This Row],[CÓDIGO]],'[1]Estrutura Loja'!$B$3:$E$1825,4,0)</f>
        <v>4.1878796200000004</v>
      </c>
      <c r="O207" s="48">
        <f>Tabela25[[#This Row],[QUANT. VENDA]]*Tabela25[[#This Row],[PREÇO PRATICADO]]</f>
        <v>0</v>
      </c>
      <c r="P207" s="48">
        <f>Tabela25[[#This Row],[QUANT. VENDA]]*Tabela25[[#This Row],[CUSTO]]</f>
        <v>0</v>
      </c>
      <c r="Q207" s="49">
        <f>Tabela25[[#This Row],[CUSTO]]/Tabela25[[#This Row],[PREÇO PRATICADO]]</f>
        <v>0.27919197466666668</v>
      </c>
    </row>
    <row r="208" spans="1:17" s="86" customFormat="1" x14ac:dyDescent="0.3">
      <c r="A208" s="85">
        <v>100300038</v>
      </c>
      <c r="B208" s="28">
        <v>1023</v>
      </c>
      <c r="C208" s="28" t="str">
        <f>VLOOKUP(Tabela25[[#This Row],[GRUPO]],[1]Produto!H67:I399,2,0)</f>
        <v>MS Fabulosos 300ml</v>
      </c>
      <c r="D208" s="43" t="s">
        <v>231</v>
      </c>
      <c r="E208" s="36">
        <v>15</v>
      </c>
      <c r="F208" s="44">
        <v>16</v>
      </c>
      <c r="G208" s="21">
        <f>VLOOKUP(Tabela25[[#This Row],[CÓDIGO]],'[1]Estrutura Loja'!$B$3:$M$2941,5,0)</f>
        <v>13.08528400479616</v>
      </c>
      <c r="H208" s="45">
        <f t="shared" si="3"/>
        <v>1.9147159952038404</v>
      </c>
      <c r="I208" s="36">
        <v>15</v>
      </c>
      <c r="J20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0.23548606977777781</v>
      </c>
      <c r="K208" s="46">
        <f>Tabela25[[#This Row],[PREÇO PRATICADO]]*Tabela25[[#This Row],[LUCRO REAL %]]</f>
        <v>3.5322910466666673</v>
      </c>
      <c r="L208" s="24"/>
      <c r="M208" s="54">
        <f>IF(Tabela25[[#This Row],[QUANT. VENDA]]=0,0,((Tabela25[[#This Row],[CUSTO]]*Tabela25[[#This Row],[QUANT. VENDA]])/(Tabela25[[#This Row],[QUANT. VENDA]]*Tabela25[[#This Row],[PREÇO PRATICADO]])))</f>
        <v>0</v>
      </c>
      <c r="N208" s="48">
        <f>VLOOKUP(Tabela25[[#This Row],[CÓDIGO]],'[1]Estrutura Loja'!$B$3:$E$1825,4,0)</f>
        <v>3.6377089533333327</v>
      </c>
      <c r="O208" s="48">
        <f>Tabela25[[#This Row],[QUANT. VENDA]]*Tabela25[[#This Row],[PREÇO PRATICADO]]</f>
        <v>0</v>
      </c>
      <c r="P208" s="48">
        <f>Tabela25[[#This Row],[QUANT. VENDA]]*Tabela25[[#This Row],[CUSTO]]</f>
        <v>0</v>
      </c>
      <c r="Q208" s="49">
        <f>Tabela25[[#This Row],[CUSTO]]/Tabela25[[#This Row],[PREÇO PRATICADO]]</f>
        <v>0.24251393022222217</v>
      </c>
    </row>
    <row r="209" spans="1:17" s="86" customFormat="1" x14ac:dyDescent="0.3">
      <c r="A209" s="85">
        <v>100300015</v>
      </c>
      <c r="B209" s="28">
        <v>1023</v>
      </c>
      <c r="C209" s="28" t="str">
        <f>VLOOKUP(Tabela25[[#This Row],[GRUPO]],[1]Produto!H61:I394,2,0)</f>
        <v>MS Fabulosos 300ml</v>
      </c>
      <c r="D209" s="43" t="s">
        <v>232</v>
      </c>
      <c r="E209" s="36">
        <v>15</v>
      </c>
      <c r="F209" s="44">
        <v>16</v>
      </c>
      <c r="G209" s="21">
        <f>VLOOKUP(Tabela25[[#This Row],[CÓDIGO]],'[1]Estrutura Loja'!$B$3:$M$2941,5,0)</f>
        <v>12.094436582733811</v>
      </c>
      <c r="H209" s="45">
        <f t="shared" si="3"/>
        <v>2.9055634172661886</v>
      </c>
      <c r="I209" s="36">
        <v>15</v>
      </c>
      <c r="J20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0.25384977533333336</v>
      </c>
      <c r="K209" s="46">
        <f>Tabela25[[#This Row],[PREÇO PRATICADO]]*Tabela25[[#This Row],[LUCRO REAL %]]</f>
        <v>3.8077466300000005</v>
      </c>
      <c r="L209" s="24"/>
      <c r="M209" s="54">
        <f>IF(Tabela25[[#This Row],[QUANT. VENDA]]=0,0,((Tabela25[[#This Row],[CUSTO]]*Tabela25[[#This Row],[QUANT. VENDA]])/(Tabela25[[#This Row],[QUANT. VENDA]]*Tabela25[[#This Row],[PREÇO PRATICADO]])))</f>
        <v>0</v>
      </c>
      <c r="N209" s="48">
        <f>VLOOKUP(Tabela25[[#This Row],[CÓDIGO]],'[1]Estrutura Loja'!$B$3:$E$1825,4,0)</f>
        <v>3.3622533699999999</v>
      </c>
      <c r="O209" s="48">
        <f>Tabela25[[#This Row],[QUANT. VENDA]]*Tabela25[[#This Row],[PREÇO PRATICADO]]</f>
        <v>0</v>
      </c>
      <c r="P209" s="48">
        <f>Tabela25[[#This Row],[QUANT. VENDA]]*Tabela25[[#This Row],[CUSTO]]</f>
        <v>0</v>
      </c>
      <c r="Q209" s="49">
        <f>Tabela25[[#This Row],[CUSTO]]/Tabela25[[#This Row],[PREÇO PRATICADO]]</f>
        <v>0.22415022466666665</v>
      </c>
    </row>
    <row r="210" spans="1:17" s="86" customFormat="1" x14ac:dyDescent="0.3">
      <c r="A210" s="85">
        <v>100300026</v>
      </c>
      <c r="B210" s="28">
        <v>1023</v>
      </c>
      <c r="C210" s="28" t="str">
        <f>VLOOKUP(Tabela25[[#This Row],[GRUPO]],[1]Produto!H63:I396,2,0)</f>
        <v>MS Fabulosos 300ml</v>
      </c>
      <c r="D210" s="43" t="s">
        <v>233</v>
      </c>
      <c r="E210" s="36">
        <v>15</v>
      </c>
      <c r="F210" s="44">
        <v>16</v>
      </c>
      <c r="G210" s="21">
        <f>VLOOKUP(Tabela25[[#This Row],[CÓDIGO]],'[1]Estrutura Loja'!$B$3:$M$2941,5,0)</f>
        <v>13.723585263788967</v>
      </c>
      <c r="H210" s="45">
        <f t="shared" si="3"/>
        <v>1.2764147362110325</v>
      </c>
      <c r="I210" s="44">
        <v>21</v>
      </c>
      <c r="J21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0.29632587126984128</v>
      </c>
      <c r="K210" s="46">
        <f>Tabela25[[#This Row],[PREÇO PRATICADO]]*Tabela25[[#This Row],[LUCRO REAL %]]</f>
        <v>6.2228432966666665</v>
      </c>
      <c r="L210" s="24"/>
      <c r="M210" s="54">
        <f>IF(Tabela25[[#This Row],[QUANT. VENDA]]=0,0,((Tabela25[[#This Row],[CUSTO]]*Tabela25[[#This Row],[QUANT. VENDA]])/(Tabela25[[#This Row],[QUANT. VENDA]]*Tabela25[[#This Row],[PREÇO PRATICADO]])))</f>
        <v>0</v>
      </c>
      <c r="N210" s="48">
        <f>VLOOKUP(Tabela25[[#This Row],[CÓDIGO]],'[1]Estrutura Loja'!$B$3:$E$1825,4,0)</f>
        <v>3.8151567033333333</v>
      </c>
      <c r="O210" s="48">
        <f>Tabela25[[#This Row],[QUANT. VENDA]]*Tabela25[[#This Row],[PREÇO PRATICADO]]</f>
        <v>0</v>
      </c>
      <c r="P210" s="48">
        <f>Tabela25[[#This Row],[QUANT. VENDA]]*Tabela25[[#This Row],[CUSTO]]</f>
        <v>0</v>
      </c>
      <c r="Q210" s="49">
        <f>Tabela25[[#This Row],[CUSTO]]/Tabela25[[#This Row],[PREÇO PRATICADO]]</f>
        <v>0.18167412873015873</v>
      </c>
    </row>
    <row r="211" spans="1:17" s="86" customFormat="1" x14ac:dyDescent="0.3">
      <c r="A211" s="85">
        <v>100300020</v>
      </c>
      <c r="B211" s="28">
        <v>1023</v>
      </c>
      <c r="C211" s="28" t="str">
        <f>VLOOKUP(Tabela25[[#This Row],[GRUPO]],[1]Produto!H62:I395,2,0)</f>
        <v>MS Fabulosos 300ml</v>
      </c>
      <c r="D211" s="43" t="s">
        <v>234</v>
      </c>
      <c r="E211" s="36">
        <v>15</v>
      </c>
      <c r="F211" s="44">
        <v>16</v>
      </c>
      <c r="G211" s="21">
        <f>VLOOKUP(Tabela25[[#This Row],[CÓDIGO]],'[1]Estrutura Loja'!$B$3:$M$2941,5,0)</f>
        <v>13.626833165467623</v>
      </c>
      <c r="H211" s="45">
        <f t="shared" si="3"/>
        <v>1.3731668345323769</v>
      </c>
      <c r="I211" s="44">
        <v>18</v>
      </c>
      <c r="J21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0.2675411322222222</v>
      </c>
      <c r="K211" s="46">
        <f>Tabela25[[#This Row],[PREÇO PRATICADO]]*Tabela25[[#This Row],[LUCRO REAL %]]</f>
        <v>4.8157403799999994</v>
      </c>
      <c r="L211" s="24"/>
      <c r="M211" s="54">
        <f>IF(Tabela25[[#This Row],[QUANT. VENDA]]=0,0,((Tabela25[[#This Row],[CUSTO]]*Tabela25[[#This Row],[QUANT. VENDA]])/(Tabela25[[#This Row],[QUANT. VENDA]]*Tabela25[[#This Row],[PREÇO PRATICADO]])))</f>
        <v>0</v>
      </c>
      <c r="N211" s="48">
        <f>VLOOKUP(Tabela25[[#This Row],[CÓDIGO]],'[1]Estrutura Loja'!$B$3:$E$1825,4,0)</f>
        <v>3.7882596199999994</v>
      </c>
      <c r="O211" s="48">
        <f>Tabela25[[#This Row],[QUANT. VENDA]]*Tabela25[[#This Row],[PREÇO PRATICADO]]</f>
        <v>0</v>
      </c>
      <c r="P211" s="48">
        <f>Tabela25[[#This Row],[QUANT. VENDA]]*Tabela25[[#This Row],[CUSTO]]</f>
        <v>0</v>
      </c>
      <c r="Q211" s="49">
        <f>Tabela25[[#This Row],[CUSTO]]/Tabela25[[#This Row],[PREÇO PRATICADO]]</f>
        <v>0.21045886777777775</v>
      </c>
    </row>
    <row r="212" spans="1:17" s="86" customFormat="1" x14ac:dyDescent="0.3">
      <c r="A212" s="85">
        <v>100300077</v>
      </c>
      <c r="B212" s="28">
        <v>1023</v>
      </c>
      <c r="C212" s="28" t="str">
        <f>VLOOKUP(Tabela25[[#This Row],[GRUPO]],[1]Produto!H60:I393,2,0)</f>
        <v>MS Fabulosos 300ml</v>
      </c>
      <c r="D212" s="51" t="s">
        <v>235</v>
      </c>
      <c r="E212" s="36">
        <v>15</v>
      </c>
      <c r="F212" s="44">
        <v>16</v>
      </c>
      <c r="G212" s="21">
        <f>VLOOKUP(Tabela25[[#This Row],[CÓDIGO]],'[1]Estrutura Loja'!$B$3:$M$2941,5,0)</f>
        <v>12.753338037519351</v>
      </c>
      <c r="H212" s="37">
        <f t="shared" si="3"/>
        <v>2.2466619624806494</v>
      </c>
      <c r="I212" s="36">
        <v>15</v>
      </c>
      <c r="J212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0.24163813503797468</v>
      </c>
      <c r="K212" s="53">
        <f>Tabela25[[#This Row],[PREÇO PRATICADO]]*Tabela25[[#This Row],[LUCRO REAL %]]</f>
        <v>3.6245720255696203</v>
      </c>
      <c r="L212" s="24"/>
      <c r="M212" s="54">
        <f>IF(Tabela25[[#This Row],[QUANT. VENDA]]=0,0,((Tabela25[[#This Row],[CUSTO]]*Tabela25[[#This Row],[QUANT. VENDA]])/(Tabela25[[#This Row],[QUANT. VENDA]]*Tabela25[[#This Row],[PREÇO PRATICADO]])))</f>
        <v>0</v>
      </c>
      <c r="N212" s="39">
        <f>VLOOKUP(Tabela25[[#This Row],[CÓDIGO]],'[1]Estrutura Loja'!$B$3:$E$1825,4,0)</f>
        <v>3.5454279744303796</v>
      </c>
      <c r="O212" s="39">
        <f>Tabela25[[#This Row],[QUANT. VENDA]]*Tabela25[[#This Row],[PREÇO PRATICADO]]</f>
        <v>0</v>
      </c>
      <c r="P212" s="39">
        <f>Tabela25[[#This Row],[QUANT. VENDA]]*Tabela25[[#This Row],[CUSTO]]</f>
        <v>0</v>
      </c>
      <c r="Q212" s="55">
        <f>Tabela25[[#This Row],[CUSTO]]/Tabela25[[#This Row],[PREÇO PRATICADO]]</f>
        <v>0.2363618649620253</v>
      </c>
    </row>
    <row r="213" spans="1:17" s="86" customFormat="1" x14ac:dyDescent="0.3">
      <c r="A213" s="85">
        <v>100300079</v>
      </c>
      <c r="B213" s="28">
        <v>1023</v>
      </c>
      <c r="C213" s="28" t="s">
        <v>223</v>
      </c>
      <c r="D213" s="43" t="s">
        <v>236</v>
      </c>
      <c r="E213" s="36">
        <v>15</v>
      </c>
      <c r="F213" s="44">
        <v>16</v>
      </c>
      <c r="G213" s="21">
        <f>VLOOKUP(Tabela25[[#This Row],[CÓDIGO]],'[1]Estrutura Loja'!$B$3:$M$2941,5,0)</f>
        <v>13.547417055498457</v>
      </c>
      <c r="H213" s="45">
        <f t="shared" si="3"/>
        <v>1.4525829445015432</v>
      </c>
      <c r="I213" s="36">
        <v>15</v>
      </c>
      <c r="J21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0.22692120390476189</v>
      </c>
      <c r="K213" s="23">
        <f>Tabela25[[#This Row],[PREÇO PRATICADO]]*Tabela25[[#This Row],[LUCRO REAL %]]</f>
        <v>3.4038180585714284</v>
      </c>
      <c r="L213" s="24"/>
      <c r="M213" s="54">
        <f>IF(Tabela25[[#This Row],[QUANT. VENDA]]=0,0,((Tabela25[[#This Row],[CUSTO]]*Tabela25[[#This Row],[QUANT. VENDA]])/(Tabela25[[#This Row],[QUANT. VENDA]]*Tabela25[[#This Row],[PREÇO PRATICADO]])))</f>
        <v>0</v>
      </c>
      <c r="N213" s="48">
        <f>VLOOKUP(Tabela25[[#This Row],[CÓDIGO]],'[1]Estrutura Loja'!$B$3:$E$1825,4,0)</f>
        <v>3.7661819414285715</v>
      </c>
      <c r="O213" s="48">
        <f>Tabela25[[#This Row],[QUANT. VENDA]]*Tabela25[[#This Row],[PREÇO PRATICADO]]</f>
        <v>0</v>
      </c>
      <c r="P213" s="48">
        <f>Tabela25[[#This Row],[QUANT. VENDA]]*Tabela25[[#This Row],[CUSTO]]</f>
        <v>0</v>
      </c>
      <c r="Q213" s="56">
        <f>Tabela25[[#This Row],[CUSTO]]/Tabela25[[#This Row],[PREÇO PRATICADO]]</f>
        <v>0.25107879609523809</v>
      </c>
    </row>
    <row r="214" spans="1:17" s="86" customFormat="1" x14ac:dyDescent="0.3">
      <c r="A214" s="91">
        <v>100300082</v>
      </c>
      <c r="B214" s="28">
        <v>1023</v>
      </c>
      <c r="C214" s="28" t="s">
        <v>223</v>
      </c>
      <c r="D214" s="51" t="s">
        <v>237</v>
      </c>
      <c r="E214" s="36">
        <v>18</v>
      </c>
      <c r="F214" s="36">
        <v>20</v>
      </c>
      <c r="G214" s="37">
        <f>VLOOKUP(Tabela25[[#This Row],[CÓDIGO]],'[1]Estrutura Loja'!$B$3:$M$2941,5,0)</f>
        <v>17.661488013018154</v>
      </c>
      <c r="H214" s="37">
        <f t="shared" si="3"/>
        <v>0.33851198698184604</v>
      </c>
      <c r="I214" s="36">
        <v>18</v>
      </c>
      <c r="J214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0.20522812957671954</v>
      </c>
      <c r="K214" s="53">
        <f>Tabela25[[#This Row],[PREÇO PRATICADO]]*Tabela25[[#This Row],[LUCRO REAL %]]</f>
        <v>3.6941063323809518</v>
      </c>
      <c r="L214" s="38"/>
      <c r="M214" s="54">
        <f>IF(Tabela25[[#This Row],[QUANT. VENDA]]=0,0,((Tabela25[[#This Row],[CUSTO]]*Tabela25[[#This Row],[QUANT. VENDA]])/(Tabela25[[#This Row],[QUANT. VENDA]]*Tabela25[[#This Row],[PREÇO PRATICADO]])))</f>
        <v>0</v>
      </c>
      <c r="N214" s="48">
        <f>VLOOKUP(Tabela25[[#This Row],[CÓDIGO]],'[1]Estrutura Loja'!$B$3:$E$1825,4,0)</f>
        <v>4.9098936676190474</v>
      </c>
      <c r="O214" s="39">
        <f>Tabela25[[#This Row],[QUANT. VENDA]]*Tabela25[[#This Row],[PREÇO PRATICADO]]</f>
        <v>0</v>
      </c>
      <c r="P214" s="39">
        <f>Tabela25[[#This Row],[QUANT. VENDA]]*Tabela25[[#This Row],[CUSTO]]</f>
        <v>0</v>
      </c>
      <c r="Q214" s="49">
        <f>Tabela25[[#This Row],[CUSTO]]/Tabela25[[#This Row],[PREÇO PRATICADO]]</f>
        <v>0.27277187042328044</v>
      </c>
    </row>
    <row r="215" spans="1:17" s="86" customFormat="1" x14ac:dyDescent="0.3">
      <c r="A215" s="85">
        <v>100300029</v>
      </c>
      <c r="B215" s="28">
        <v>1023</v>
      </c>
      <c r="C215" s="28" t="str">
        <f>VLOOKUP(Tabela25[[#This Row],[GRUPO]],[1]Produto!H64:I397,2,0)</f>
        <v>MS Fabulosos 300ml</v>
      </c>
      <c r="D215" s="43" t="s">
        <v>238</v>
      </c>
      <c r="E215" s="36">
        <v>15</v>
      </c>
      <c r="F215" s="44">
        <v>16</v>
      </c>
      <c r="G215" s="21">
        <f>VLOOKUP(Tabela25[[#This Row],[CÓDIGO]],'[1]Estrutura Loja'!$B$3:$M$2941,5,0)</f>
        <v>11.967240839328538</v>
      </c>
      <c r="H215" s="45">
        <f t="shared" si="3"/>
        <v>3.0327591606714623</v>
      </c>
      <c r="I215" s="44">
        <v>18</v>
      </c>
      <c r="J21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0.29317261370370368</v>
      </c>
      <c r="K215" s="46">
        <f>Tabela25[[#This Row],[PREÇO PRATICADO]]*Tabela25[[#This Row],[LUCRO REAL %]]</f>
        <v>5.2771070466666661</v>
      </c>
      <c r="L215" s="24"/>
      <c r="M215" s="54">
        <f>IF(Tabela25[[#This Row],[QUANT. VENDA]]=0,0,((Tabela25[[#This Row],[CUSTO]]*Tabela25[[#This Row],[QUANT. VENDA]])/(Tabela25[[#This Row],[QUANT. VENDA]]*Tabela25[[#This Row],[PREÇO PRATICADO]])))</f>
        <v>0</v>
      </c>
      <c r="N215" s="48">
        <f>VLOOKUP(Tabela25[[#This Row],[CÓDIGO]],'[1]Estrutura Loja'!$B$3:$E$1825,4,0)</f>
        <v>3.3268929533333336</v>
      </c>
      <c r="O215" s="48">
        <f>Tabela25[[#This Row],[QUANT. VENDA]]*Tabela25[[#This Row],[PREÇO PRATICADO]]</f>
        <v>0</v>
      </c>
      <c r="P215" s="48">
        <f>Tabela25[[#This Row],[QUANT. VENDA]]*Tabela25[[#This Row],[CUSTO]]</f>
        <v>0</v>
      </c>
      <c r="Q215" s="49">
        <f>Tabela25[[#This Row],[CUSTO]]/Tabela25[[#This Row],[PREÇO PRATICADO]]</f>
        <v>0.1848273862962963</v>
      </c>
    </row>
    <row r="216" spans="1:17" s="86" customFormat="1" x14ac:dyDescent="0.3">
      <c r="A216" s="85">
        <v>100300037</v>
      </c>
      <c r="B216" s="28">
        <v>1023</v>
      </c>
      <c r="C216" s="28" t="str">
        <f>VLOOKUP(Tabela25[[#This Row],[GRUPO]],[1]Produto!H66:I398,2,0)</f>
        <v>MS Fabulosos 300ml</v>
      </c>
      <c r="D216" s="43" t="s">
        <v>239</v>
      </c>
      <c r="E216" s="36">
        <v>15</v>
      </c>
      <c r="F216" s="44">
        <v>16</v>
      </c>
      <c r="G216" s="21">
        <f>VLOOKUP(Tabela25[[#This Row],[CÓDIGO]],'[1]Estrutura Loja'!$B$3:$M$2941,5,0)</f>
        <v>14.264391223021581</v>
      </c>
      <c r="H216" s="45">
        <f t="shared" si="3"/>
        <v>0.73560877697841853</v>
      </c>
      <c r="I216" s="44">
        <v>21</v>
      </c>
      <c r="J21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0.28916663047619051</v>
      </c>
      <c r="K216" s="46">
        <f>Tabela25[[#This Row],[PREÇO PRATICADO]]*Tabela25[[#This Row],[LUCRO REAL %]]</f>
        <v>6.0724992400000009</v>
      </c>
      <c r="L216" s="24"/>
      <c r="M216" s="54">
        <f>IF(Tabela25[[#This Row],[QUANT. VENDA]]=0,0,((Tabela25[[#This Row],[CUSTO]]*Tabela25[[#This Row],[QUANT. VENDA]])/(Tabela25[[#This Row],[QUANT. VENDA]]*Tabela25[[#This Row],[PREÇO PRATICADO]])))</f>
        <v>0</v>
      </c>
      <c r="N216" s="48">
        <f>VLOOKUP(Tabela25[[#This Row],[CÓDIGO]],'[1]Estrutura Loja'!$B$3:$E$1825,4,0)</f>
        <v>3.9655007599999998</v>
      </c>
      <c r="O216" s="48">
        <f>Tabela25[[#This Row],[QUANT. VENDA]]*Tabela25[[#This Row],[PREÇO PRATICADO]]</f>
        <v>0</v>
      </c>
      <c r="P216" s="48">
        <f>Tabela25[[#This Row],[QUANT. VENDA]]*Tabela25[[#This Row],[CUSTO]]</f>
        <v>0</v>
      </c>
      <c r="Q216" s="49">
        <f>Tabela25[[#This Row],[CUSTO]]/Tabela25[[#This Row],[PREÇO PRATICADO]]</f>
        <v>0.18883336952380952</v>
      </c>
    </row>
    <row r="217" spans="1:17" s="86" customFormat="1" x14ac:dyDescent="0.3">
      <c r="A217" s="91">
        <v>100300081</v>
      </c>
      <c r="B217" s="28">
        <v>1023</v>
      </c>
      <c r="C217" s="28" t="s">
        <v>223</v>
      </c>
      <c r="D217" s="51" t="s">
        <v>240</v>
      </c>
      <c r="E217" s="36">
        <v>18</v>
      </c>
      <c r="F217" s="36">
        <v>20</v>
      </c>
      <c r="G217" s="37">
        <f>VLOOKUP(Tabela25[[#This Row],[CÓDIGO]],'[1]Estrutura Loja'!$B$3:$M$2941,5,0)</f>
        <v>16.704608088386429</v>
      </c>
      <c r="H217" s="37">
        <f t="shared" si="3"/>
        <v>1.2953919116135708</v>
      </c>
      <c r="I217" s="36">
        <v>18</v>
      </c>
      <c r="J217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0.2200066084126984</v>
      </c>
      <c r="K217" s="53">
        <f>Tabela25[[#This Row],[PREÇO PRATICADO]]*Tabela25[[#This Row],[LUCRO REAL %]]</f>
        <v>3.9601189514285711</v>
      </c>
      <c r="L217" s="38"/>
      <c r="M217" s="54">
        <f>IF(Tabela25[[#This Row],[QUANT. VENDA]]=0,0,((Tabela25[[#This Row],[CUSTO]]*Tabela25[[#This Row],[QUANT. VENDA]])/(Tabela25[[#This Row],[QUANT. VENDA]]*Tabela25[[#This Row],[PREÇO PRATICADO]])))</f>
        <v>0</v>
      </c>
      <c r="N217" s="48">
        <f>VLOOKUP(Tabela25[[#This Row],[CÓDIGO]],'[1]Estrutura Loja'!$B$3:$E$1825,4,0)</f>
        <v>4.6438810485714281</v>
      </c>
      <c r="O217" s="39">
        <f>Tabela25[[#This Row],[QUANT. VENDA]]*Tabela25[[#This Row],[PREÇO PRATICADO]]</f>
        <v>0</v>
      </c>
      <c r="P217" s="39">
        <f>Tabela25[[#This Row],[QUANT. VENDA]]*Tabela25[[#This Row],[CUSTO]]</f>
        <v>0</v>
      </c>
      <c r="Q217" s="49">
        <f>Tabela25[[#This Row],[CUSTO]]/Tabela25[[#This Row],[PREÇO PRATICADO]]</f>
        <v>0.25799339158730156</v>
      </c>
    </row>
    <row r="218" spans="1:17" s="86" customFormat="1" x14ac:dyDescent="0.3">
      <c r="A218" s="91">
        <v>100300086</v>
      </c>
      <c r="B218" s="28">
        <v>1023</v>
      </c>
      <c r="C218" s="28" t="s">
        <v>223</v>
      </c>
      <c r="D218" s="51" t="s">
        <v>241</v>
      </c>
      <c r="E218" s="36">
        <v>23</v>
      </c>
      <c r="F218" s="36">
        <v>25</v>
      </c>
      <c r="G218" s="37">
        <f>VLOOKUP(Tabela25[[#This Row],[CÓDIGO]],'[1]Estrutura Loja'!$B$3:$M$2941,5,0)</f>
        <v>25.357696474820138</v>
      </c>
      <c r="H218" s="37">
        <f t="shared" si="3"/>
        <v>-2.3576964748201377</v>
      </c>
      <c r="I218" s="36">
        <v>23</v>
      </c>
      <c r="J218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0.17150262521739132</v>
      </c>
      <c r="K218" s="53">
        <f>Tabela25[[#This Row],[PREÇO PRATICADO]]*Tabela25[[#This Row],[LUCRO REAL %]]</f>
        <v>3.9445603800000004</v>
      </c>
      <c r="L218" s="38"/>
      <c r="M218" s="67">
        <f>IF(Tabela25[[#This Row],[QUANT. VENDA]]=0,0,((Tabela25[[#This Row],[CUSTO]]*Tabela25[[#This Row],[QUANT. VENDA]])/(Tabela25[[#This Row],[QUANT. VENDA]]*Tabela25[[#This Row],[PREÇO PRATICADO]])))</f>
        <v>0</v>
      </c>
      <c r="N218" s="48">
        <f>VLOOKUP(Tabela25[[#This Row],[CÓDIGO]],'[1]Estrutura Loja'!$B$3:$E$1825,4,0)</f>
        <v>7.0494396199999994</v>
      </c>
      <c r="O218" s="39">
        <f>Tabela25[[#This Row],[QUANT. VENDA]]*Tabela25[[#This Row],[PREÇO PRATICADO]]</f>
        <v>0</v>
      </c>
      <c r="P218" s="39">
        <f>Tabela25[[#This Row],[QUANT. VENDA]]*Tabela25[[#This Row],[CUSTO]]</f>
        <v>0</v>
      </c>
      <c r="Q218" s="49">
        <f>Tabela25[[#This Row],[CUSTO]]/Tabela25[[#This Row],[PREÇO PRATICADO]]</f>
        <v>0.30649737478260869</v>
      </c>
    </row>
    <row r="219" spans="1:17" s="86" customFormat="1" x14ac:dyDescent="0.3">
      <c r="A219" s="91">
        <v>100400059</v>
      </c>
      <c r="B219" s="28">
        <v>1024</v>
      </c>
      <c r="C219" s="28" t="str">
        <f>VLOOKUP(Tabela25[[#This Row],[GRUPO]],[1]Produto!H69:I407,2,0)</f>
        <v>MS Fabulosos 400ml</v>
      </c>
      <c r="D219" s="51" t="s">
        <v>242</v>
      </c>
      <c r="E219" s="36">
        <v>25</v>
      </c>
      <c r="F219" s="36">
        <v>28</v>
      </c>
      <c r="G219" s="37">
        <f>VLOOKUP(Tabela25[[#This Row],[CÓDIGO]],'[1]Estrutura Loja'!$B$3:$M$2941,5,0)</f>
        <v>24.975482426059155</v>
      </c>
      <c r="H219" s="37">
        <f t="shared" si="3"/>
        <v>2.4517573940844528E-2</v>
      </c>
      <c r="I219" s="36">
        <v>25</v>
      </c>
      <c r="J219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0.20027263542222215</v>
      </c>
      <c r="K219" s="53">
        <f>Tabela25[[#This Row],[PREÇO PRATICADO]]*Tabela25[[#This Row],[LUCRO REAL %]]</f>
        <v>5.0068158855555538</v>
      </c>
      <c r="L219" s="38"/>
      <c r="M219" s="67">
        <f>IF(Tabela25[[#This Row],[QUANT. VENDA]]=0,0,((Tabela25[[#This Row],[CUSTO]]*Tabela25[[#This Row],[QUANT. VENDA]])/(Tabela25[[#This Row],[QUANT. VENDA]]*Tabela25[[#This Row],[PREÇO PRATICADO]])))</f>
        <v>0</v>
      </c>
      <c r="N219" s="39">
        <f>VLOOKUP(Tabela25[[#This Row],[CÓDIGO]],'[1]Estrutura Loja'!$B$3:$E$1825,4,0)</f>
        <v>6.9431841144444455</v>
      </c>
      <c r="O219" s="39">
        <f>Tabela25[[#This Row],[QUANT. VENDA]]*Tabela25[[#This Row],[PREÇO PRATICADO]]</f>
        <v>0</v>
      </c>
      <c r="P219" s="39">
        <f>Tabela25[[#This Row],[QUANT. VENDA]]*Tabela25[[#This Row],[CUSTO]]</f>
        <v>0</v>
      </c>
      <c r="Q219" s="55">
        <f>Tabela25[[#This Row],[CUSTO]]/Tabela25[[#This Row],[PREÇO PRATICADO]]</f>
        <v>0.2777273645777778</v>
      </c>
    </row>
    <row r="220" spans="1:17" s="86" customFormat="1" x14ac:dyDescent="0.3">
      <c r="A220" s="91">
        <v>100400058</v>
      </c>
      <c r="B220" s="28">
        <v>1024</v>
      </c>
      <c r="C220" s="28" t="str">
        <f>VLOOKUP(Tabela25[[#This Row],[GRUPO]],[1]Produto!H68:I406,2,0)</f>
        <v>MS Fabulosos 400ml</v>
      </c>
      <c r="D220" s="51" t="s">
        <v>243</v>
      </c>
      <c r="E220" s="36">
        <v>25</v>
      </c>
      <c r="F220" s="36">
        <v>28</v>
      </c>
      <c r="G220" s="37">
        <f>VLOOKUP(Tabela25[[#This Row],[CÓDIGO]],'[1]Estrutura Loja'!$B$3:$M$2941,5,0)</f>
        <v>23.093155082870414</v>
      </c>
      <c r="H220" s="37">
        <f t="shared" si="3"/>
        <v>1.906844917129586</v>
      </c>
      <c r="I220" s="36">
        <v>25</v>
      </c>
      <c r="J220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0.22120411547848093</v>
      </c>
      <c r="K220" s="53">
        <f>Tabela25[[#This Row],[PREÇO PRATICADO]]*Tabela25[[#This Row],[LUCRO REAL %]]</f>
        <v>5.5301028869620232</v>
      </c>
      <c r="L220" s="38"/>
      <c r="M220" s="67">
        <f>IF(Tabela25[[#This Row],[QUANT. VENDA]]=0,0,((Tabela25[[#This Row],[CUSTO]]*Tabela25[[#This Row],[QUANT. VENDA]])/(Tabela25[[#This Row],[QUANT. VENDA]]*Tabela25[[#This Row],[PREÇO PRATICADO]])))</f>
        <v>0</v>
      </c>
      <c r="N220" s="39">
        <f>VLOOKUP(Tabela25[[#This Row],[CÓDIGO]],'[1]Estrutura Loja'!$B$3:$E$1825,4,0)</f>
        <v>6.4198971130379761</v>
      </c>
      <c r="O220" s="39">
        <f>Tabela25[[#This Row],[QUANT. VENDA]]*Tabela25[[#This Row],[PREÇO PRATICADO]]</f>
        <v>0</v>
      </c>
      <c r="P220" s="39">
        <f>Tabela25[[#This Row],[QUANT. VENDA]]*Tabela25[[#This Row],[CUSTO]]</f>
        <v>0</v>
      </c>
      <c r="Q220" s="55">
        <f>Tabela25[[#This Row],[CUSTO]]/Tabela25[[#This Row],[PREÇO PRATICADO]]</f>
        <v>0.25679588452151902</v>
      </c>
    </row>
    <row r="221" spans="1:17" s="86" customFormat="1" x14ac:dyDescent="0.3">
      <c r="A221" s="85">
        <v>100400047</v>
      </c>
      <c r="B221" s="28">
        <v>1024</v>
      </c>
      <c r="C221" s="28" t="str">
        <f>VLOOKUP(Tabela25[[#This Row],[GRUPO]],[1]Produto!H58:I394,2,0)</f>
        <v>MS Fabulosos 400ml</v>
      </c>
      <c r="D221" s="43" t="s">
        <v>244</v>
      </c>
      <c r="E221" s="44">
        <v>18</v>
      </c>
      <c r="F221" s="44">
        <v>19</v>
      </c>
      <c r="G221" s="21">
        <f>VLOOKUP(Tabela25[[#This Row],[CÓDIGO]],'[1]Estrutura Loja'!$B$3:$M$2941,5,0)</f>
        <v>17.238186510791369</v>
      </c>
      <c r="H221" s="45">
        <f t="shared" si="3"/>
        <v>0.76181348920863101</v>
      </c>
      <c r="I221" s="44">
        <v>18</v>
      </c>
      <c r="J22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0.21176578611111102</v>
      </c>
      <c r="K221" s="46">
        <f>Tabela25[[#This Row],[PREÇO PRATICADO]]*Tabela25[[#This Row],[LUCRO REAL %]]</f>
        <v>3.8117841499999985</v>
      </c>
      <c r="L221" s="24"/>
      <c r="M221" s="54">
        <f>IF(Tabela25[[#This Row],[QUANT. VENDA]]=0,0,((Tabela25[[#This Row],[CUSTO]]*Tabela25[[#This Row],[QUANT. VENDA]])/(Tabela25[[#This Row],[QUANT. VENDA]]*Tabela25[[#This Row],[PREÇO PRATICADO]])))</f>
        <v>0</v>
      </c>
      <c r="N221" s="48">
        <f>VLOOKUP(Tabela25[[#This Row],[CÓDIGO]],'[1]Estrutura Loja'!$B$3:$E$1825,4,0)</f>
        <v>4.7922158500000007</v>
      </c>
      <c r="O221" s="48">
        <f>Tabela25[[#This Row],[QUANT. VENDA]]*Tabela25[[#This Row],[PREÇO PRATICADO]]</f>
        <v>0</v>
      </c>
      <c r="P221" s="48">
        <f>Tabela25[[#This Row],[QUANT. VENDA]]*Tabela25[[#This Row],[CUSTO]]</f>
        <v>0</v>
      </c>
      <c r="Q221" s="49">
        <f>Tabela25[[#This Row],[CUSTO]]/Tabela25[[#This Row],[PREÇO PRATICADO]]</f>
        <v>0.2662342138888889</v>
      </c>
    </row>
    <row r="222" spans="1:17" s="86" customFormat="1" x14ac:dyDescent="0.3">
      <c r="A222" s="91">
        <v>100400060</v>
      </c>
      <c r="B222" s="28">
        <v>1024</v>
      </c>
      <c r="C222" s="28" t="str">
        <f>VLOOKUP(Tabela25[[#This Row],[GRUPO]],[1]Produto!H70:I408,2,0)</f>
        <v>MS Fabulosos 400ml</v>
      </c>
      <c r="D222" s="51" t="s">
        <v>245</v>
      </c>
      <c r="E222" s="36">
        <v>33</v>
      </c>
      <c r="F222" s="36">
        <v>35</v>
      </c>
      <c r="G222" s="37">
        <f>VLOOKUP(Tabela25[[#This Row],[CÓDIGO]],'[1]Estrutura Loja'!$B$3:$M$2941,5,0)</f>
        <v>32.577640899280574</v>
      </c>
      <c r="H222" s="37">
        <f t="shared" si="3"/>
        <v>0.42235910071942584</v>
      </c>
      <c r="I222" s="36">
        <v>33</v>
      </c>
      <c r="J222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0.20355805545454547</v>
      </c>
      <c r="K222" s="53">
        <f>Tabela25[[#This Row],[PREÇO PRATICADO]]*Tabela25[[#This Row],[LUCRO REAL %]]</f>
        <v>6.7174158300000002</v>
      </c>
      <c r="L222" s="38"/>
      <c r="M222" s="67">
        <f>IF(Tabela25[[#This Row],[QUANT. VENDA]]=0,0,((Tabela25[[#This Row],[CUSTO]]*Tabela25[[#This Row],[QUANT. VENDA]])/(Tabela25[[#This Row],[QUANT. VENDA]]*Tabela25[[#This Row],[PREÇO PRATICADO]])))</f>
        <v>0</v>
      </c>
      <c r="N222" s="39">
        <f>VLOOKUP(Tabela25[[#This Row],[CÓDIGO]],'[1]Estrutura Loja'!$B$3:$E$1825,4,0)</f>
        <v>9.0565841700000007</v>
      </c>
      <c r="O222" s="39">
        <f>Tabela25[[#This Row],[QUANT. VENDA]]*Tabela25[[#This Row],[PREÇO PRATICADO]]</f>
        <v>0</v>
      </c>
      <c r="P222" s="39">
        <f>Tabela25[[#This Row],[QUANT. VENDA]]*Tabela25[[#This Row],[CUSTO]]</f>
        <v>0</v>
      </c>
      <c r="Q222" s="55">
        <f>Tabela25[[#This Row],[CUSTO]]/Tabela25[[#This Row],[PREÇO PRATICADO]]</f>
        <v>0.27444194454545456</v>
      </c>
    </row>
    <row r="223" spans="1:17" s="86" customFormat="1" x14ac:dyDescent="0.3">
      <c r="A223" s="91">
        <v>100400063</v>
      </c>
      <c r="B223" s="28">
        <v>1024</v>
      </c>
      <c r="C223" s="28" t="str">
        <f>VLOOKUP(Tabela25[[#This Row],[GRUPO]],[1]Produto!H72:I410,2,0)</f>
        <v>MS Fabulosos 400ml</v>
      </c>
      <c r="D223" s="51" t="s">
        <v>246</v>
      </c>
      <c r="E223" s="36">
        <v>33</v>
      </c>
      <c r="F223" s="36">
        <v>35</v>
      </c>
      <c r="G223" s="37">
        <f>VLOOKUP(Tabela25[[#This Row],[CÓDIGO]],'[1]Estrutura Loja'!$B$3:$M$2941,5,0)</f>
        <v>31.241049172661874</v>
      </c>
      <c r="H223" s="37">
        <f t="shared" si="3"/>
        <v>1.7589508273381256</v>
      </c>
      <c r="I223" s="36">
        <v>33</v>
      </c>
      <c r="J223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0.21481782818181816</v>
      </c>
      <c r="K223" s="53">
        <f>Tabela25[[#This Row],[PREÇO PRATICADO]]*Tabela25[[#This Row],[LUCRO REAL %]]</f>
        <v>7.0889883299999994</v>
      </c>
      <c r="L223" s="38"/>
      <c r="M223" s="67">
        <f>IF(Tabela25[[#This Row],[QUANT. VENDA]]=0,0,((Tabela25[[#This Row],[CUSTO]]*Tabela25[[#This Row],[QUANT. VENDA]])/(Tabela25[[#This Row],[QUANT. VENDA]]*Tabela25[[#This Row],[PREÇO PRATICADO]])))</f>
        <v>0</v>
      </c>
      <c r="N223" s="39">
        <f>VLOOKUP(Tabela25[[#This Row],[CÓDIGO]],'[1]Estrutura Loja'!$B$3:$E$1825,4,0)</f>
        <v>8.6850116700000015</v>
      </c>
      <c r="O223" s="39">
        <f>Tabela25[[#This Row],[QUANT. VENDA]]*Tabela25[[#This Row],[PREÇO PRATICADO]]</f>
        <v>0</v>
      </c>
      <c r="P223" s="39">
        <f>Tabela25[[#This Row],[QUANT. VENDA]]*Tabela25[[#This Row],[CUSTO]]</f>
        <v>0</v>
      </c>
      <c r="Q223" s="55">
        <f>Tabela25[[#This Row],[CUSTO]]/Tabela25[[#This Row],[PREÇO PRATICADO]]</f>
        <v>0.26318217181818188</v>
      </c>
    </row>
    <row r="224" spans="1:17" s="86" customFormat="1" x14ac:dyDescent="0.3">
      <c r="A224" s="42">
        <v>100400042</v>
      </c>
      <c r="B224" s="28">
        <v>1024</v>
      </c>
      <c r="C224" s="28" t="str">
        <f>VLOOKUP(Tabela25[[#This Row],[GRUPO]],[1]Produto!H62:I397,2,0)</f>
        <v>MS Fabulosos 400ml</v>
      </c>
      <c r="D224" s="43" t="s">
        <v>247</v>
      </c>
      <c r="E224" s="44">
        <v>18</v>
      </c>
      <c r="F224" s="44">
        <v>19</v>
      </c>
      <c r="G224" s="21">
        <f>VLOOKUP(Tabela25[[#This Row],[CÓDIGO]],'[1]Estrutura Loja'!$B$3:$M$2941,5,0)</f>
        <v>21.131160940390547</v>
      </c>
      <c r="H224" s="45">
        <f t="shared" si="3"/>
        <v>-3.1311609403905472</v>
      </c>
      <c r="I224" s="44">
        <v>18</v>
      </c>
      <c r="J22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0.15164095880952372</v>
      </c>
      <c r="K224" s="46">
        <f>Tabela25[[#This Row],[PREÇO PRATICADO]]*Tabela25[[#This Row],[LUCRO REAL %]]</f>
        <v>2.729537258571427</v>
      </c>
      <c r="L224" s="24"/>
      <c r="M224" s="54">
        <f>IF(Tabela25[[#This Row],[QUANT. VENDA]]=0,0,((Tabela25[[#This Row],[CUSTO]]*Tabela25[[#This Row],[QUANT. VENDA]])/(Tabela25[[#This Row],[QUANT. VENDA]]*Tabela25[[#This Row],[PREÇO PRATICADO]])))</f>
        <v>0</v>
      </c>
      <c r="N224" s="48">
        <f>VLOOKUP(Tabela25[[#This Row],[CÓDIGO]],'[1]Estrutura Loja'!$B$3:$E$1825,4,0)</f>
        <v>5.8744627414285722</v>
      </c>
      <c r="O224" s="48">
        <f>Tabela25[[#This Row],[QUANT. VENDA]]*Tabela25[[#This Row],[PREÇO PRATICADO]]</f>
        <v>0</v>
      </c>
      <c r="P224" s="48">
        <f>Tabela25[[#This Row],[QUANT. VENDA]]*Tabela25[[#This Row],[CUSTO]]</f>
        <v>0</v>
      </c>
      <c r="Q224" s="49">
        <f>Tabela25[[#This Row],[CUSTO]]/Tabela25[[#This Row],[PREÇO PRATICADO]]</f>
        <v>0.32635904119047621</v>
      </c>
    </row>
    <row r="225" spans="1:17" x14ac:dyDescent="0.3">
      <c r="A225" s="42">
        <v>100400048</v>
      </c>
      <c r="B225" s="28">
        <v>1004</v>
      </c>
      <c r="C225" s="28" t="s">
        <v>248</v>
      </c>
      <c r="D225" s="43" t="s">
        <v>249</v>
      </c>
      <c r="E225" s="44">
        <v>18</v>
      </c>
      <c r="F225" s="44">
        <v>19</v>
      </c>
      <c r="G225" s="21">
        <f>VLOOKUP(Tabela25[[#This Row],[CÓDIGO]],'[1]Estrutura Loja'!$B$3:$M$2941,5,0)</f>
        <v>20.574970035971226</v>
      </c>
      <c r="H225" s="45">
        <f t="shared" si="3"/>
        <v>-2.5749700359712264</v>
      </c>
      <c r="I225" s="44">
        <v>18</v>
      </c>
      <c r="J22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0.16023101833333322</v>
      </c>
      <c r="K225" s="46">
        <f>Tabela25[[#This Row],[PREÇO PRATICADO]]*Tabela25[[#This Row],[LUCRO REAL %]]</f>
        <v>2.8841583299999982</v>
      </c>
      <c r="L225" s="24"/>
      <c r="M225" s="54">
        <f>IF(Tabela25[[#This Row],[QUANT. VENDA]]=0,0,((Tabela25[[#This Row],[CUSTO]]*Tabela25[[#This Row],[QUANT. VENDA]])/(Tabela25[[#This Row],[QUANT. VENDA]]*Tabela25[[#This Row],[PREÇO PRATICADO]])))</f>
        <v>0</v>
      </c>
      <c r="N225" s="48">
        <f>VLOOKUP(Tabela25[[#This Row],[CÓDIGO]],'[1]Estrutura Loja'!$B$3:$E$1825,4,0)</f>
        <v>5.719841670000001</v>
      </c>
      <c r="O225" s="48">
        <f>Tabela25[[#This Row],[QUANT. VENDA]]*Tabela25[[#This Row],[PREÇO PRATICADO]]</f>
        <v>0</v>
      </c>
      <c r="P225" s="48">
        <f>Tabela25[[#This Row],[QUANT. VENDA]]*Tabela25[[#This Row],[CUSTO]]</f>
        <v>0</v>
      </c>
      <c r="Q225" s="49">
        <f>Tabela25[[#This Row],[CUSTO]]/Tabela25[[#This Row],[PREÇO PRATICADO]]</f>
        <v>0.31776898166666673</v>
      </c>
    </row>
    <row r="226" spans="1:17" x14ac:dyDescent="0.3">
      <c r="A226" s="42">
        <v>100400038</v>
      </c>
      <c r="B226" s="28">
        <v>1024</v>
      </c>
      <c r="C226" s="28" t="str">
        <f>VLOOKUP(Tabela25[[#This Row],[GRUPO]],[1]Produto!H64:I403,2,0)</f>
        <v>MS Fabulosos 400ml</v>
      </c>
      <c r="D226" s="43" t="s">
        <v>250</v>
      </c>
      <c r="E226" s="44">
        <v>18</v>
      </c>
      <c r="F226" s="44">
        <v>19</v>
      </c>
      <c r="G226" s="21">
        <f>VLOOKUP(Tabela25[[#This Row],[CÓDIGO]],'[1]Estrutura Loja'!$B$3:$M$2941,5,0)</f>
        <v>16.770317757793769</v>
      </c>
      <c r="H226" s="45">
        <f t="shared" si="3"/>
        <v>1.2296822422062306</v>
      </c>
      <c r="I226" s="44">
        <v>18</v>
      </c>
      <c r="J22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0.21899175907407395</v>
      </c>
      <c r="K226" s="46">
        <f>Tabela25[[#This Row],[PREÇO PRATICADO]]*Tabela25[[#This Row],[LUCRO REAL %]]</f>
        <v>3.9418516633333311</v>
      </c>
      <c r="L226" s="24"/>
      <c r="M226" s="54">
        <f>IF(Tabela25[[#This Row],[QUANT. VENDA]]=0,0,((Tabela25[[#This Row],[CUSTO]]*Tabela25[[#This Row],[QUANT. VENDA]])/(Tabela25[[#This Row],[QUANT. VENDA]]*Tabela25[[#This Row],[PREÇO PRATICADO]])))</f>
        <v>0</v>
      </c>
      <c r="N226" s="48">
        <f>VLOOKUP(Tabela25[[#This Row],[CÓDIGO]],'[1]Estrutura Loja'!$B$3:$E$1825,4,0)</f>
        <v>4.6621483366666681</v>
      </c>
      <c r="O226" s="48">
        <f>Tabela25[[#This Row],[QUANT. VENDA]]*Tabela25[[#This Row],[PREÇO PRATICADO]]</f>
        <v>0</v>
      </c>
      <c r="P226" s="48">
        <f>Tabela25[[#This Row],[QUANT. VENDA]]*Tabela25[[#This Row],[CUSTO]]</f>
        <v>0</v>
      </c>
      <c r="Q226" s="49">
        <f>Tabela25[[#This Row],[CUSTO]]/Tabela25[[#This Row],[PREÇO PRATICADO]]</f>
        <v>0.259008240925926</v>
      </c>
    </row>
    <row r="227" spans="1:17" x14ac:dyDescent="0.3">
      <c r="A227" s="42">
        <v>100400015</v>
      </c>
      <c r="B227" s="28">
        <v>1024</v>
      </c>
      <c r="C227" s="28" t="str">
        <f>VLOOKUP(Tabela25[[#This Row],[GRUPO]],[1]Produto!H65:I404,2,0)</f>
        <v>MS Fabulosos 400ml</v>
      </c>
      <c r="D227" s="43" t="s">
        <v>251</v>
      </c>
      <c r="E227" s="44">
        <v>18</v>
      </c>
      <c r="F227" s="44">
        <v>19</v>
      </c>
      <c r="G227" s="21">
        <f>VLOOKUP(Tabela25[[#This Row],[CÓDIGO]],'[1]Estrutura Loja'!$B$3:$M$2941,5,0)</f>
        <v>16.120152140287772</v>
      </c>
      <c r="H227" s="45">
        <f t="shared" si="3"/>
        <v>1.8798478597122283</v>
      </c>
      <c r="I227" s="44">
        <v>18</v>
      </c>
      <c r="J22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0.22903320583333325</v>
      </c>
      <c r="K227" s="46">
        <f>Tabela25[[#This Row],[PREÇO PRATICADO]]*Tabela25[[#This Row],[LUCRO REAL %]]</f>
        <v>4.1225977049999987</v>
      </c>
      <c r="L227" s="24"/>
      <c r="M227" s="54">
        <f>IF(Tabela25[[#This Row],[QUANT. VENDA]]=0,0,((Tabela25[[#This Row],[CUSTO]]*Tabela25[[#This Row],[QUANT. VENDA]])/(Tabela25[[#This Row],[QUANT. VENDA]]*Tabela25[[#This Row],[PREÇO PRATICADO]])))</f>
        <v>0</v>
      </c>
      <c r="N227" s="48">
        <f>VLOOKUP(Tabela25[[#This Row],[CÓDIGO]],'[1]Estrutura Loja'!$B$3:$E$1825,4,0)</f>
        <v>4.4814022950000005</v>
      </c>
      <c r="O227" s="48">
        <f>Tabela25[[#This Row],[QUANT. VENDA]]*Tabela25[[#This Row],[PREÇO PRATICADO]]</f>
        <v>0</v>
      </c>
      <c r="P227" s="48">
        <f>Tabela25[[#This Row],[QUANT. VENDA]]*Tabela25[[#This Row],[CUSTO]]</f>
        <v>0</v>
      </c>
      <c r="Q227" s="49">
        <f>Tabela25[[#This Row],[CUSTO]]/Tabela25[[#This Row],[PREÇO PRATICADO]]</f>
        <v>0.2489667941666667</v>
      </c>
    </row>
    <row r="228" spans="1:17" x14ac:dyDescent="0.3">
      <c r="A228" s="42">
        <v>100400026</v>
      </c>
      <c r="B228" s="28">
        <v>1024</v>
      </c>
      <c r="C228" s="28" t="str">
        <f>VLOOKUP(Tabela25[[#This Row],[GRUPO]],[1]Produto!H66:I405,2,0)</f>
        <v>MS Fabulosos 400ml</v>
      </c>
      <c r="D228" s="43" t="s">
        <v>252</v>
      </c>
      <c r="E228" s="44">
        <v>18</v>
      </c>
      <c r="F228" s="44">
        <v>19</v>
      </c>
      <c r="G228" s="21">
        <f>VLOOKUP(Tabela25[[#This Row],[CÓDIGO]],'[1]Estrutura Loja'!$B$3:$M$2941,5,0)</f>
        <v>18.374890000000001</v>
      </c>
      <c r="H228" s="45">
        <f t="shared" si="3"/>
        <v>-0.37489000000000061</v>
      </c>
      <c r="I228" s="44">
        <v>18</v>
      </c>
      <c r="J22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0.19421003222222211</v>
      </c>
      <c r="K228" s="46">
        <f>Tabela25[[#This Row],[PREÇO PRATICADO]]*Tabela25[[#This Row],[LUCRO REAL %]]</f>
        <v>3.4957805799999981</v>
      </c>
      <c r="L228" s="24"/>
      <c r="M228" s="54">
        <f>IF(Tabela25[[#This Row],[QUANT. VENDA]]=0,0,((Tabela25[[#This Row],[CUSTO]]*Tabela25[[#This Row],[QUANT. VENDA]])/(Tabela25[[#This Row],[QUANT. VENDA]]*Tabela25[[#This Row],[PREÇO PRATICADO]])))</f>
        <v>0</v>
      </c>
      <c r="N228" s="48">
        <f>VLOOKUP(Tabela25[[#This Row],[CÓDIGO]],'[1]Estrutura Loja'!$B$3:$E$1825,4,0)</f>
        <v>5.1082194200000011</v>
      </c>
      <c r="O228" s="48">
        <f>Tabela25[[#This Row],[QUANT. VENDA]]*Tabela25[[#This Row],[PREÇO PRATICADO]]</f>
        <v>0</v>
      </c>
      <c r="P228" s="48">
        <f>Tabela25[[#This Row],[QUANT. VENDA]]*Tabela25[[#This Row],[CUSTO]]</f>
        <v>0</v>
      </c>
      <c r="Q228" s="49">
        <f>Tabela25[[#This Row],[CUSTO]]/Tabela25[[#This Row],[PREÇO PRATICADO]]</f>
        <v>0.28378996777777782</v>
      </c>
    </row>
    <row r="229" spans="1:17" x14ac:dyDescent="0.3">
      <c r="A229" s="42">
        <v>100400020</v>
      </c>
      <c r="B229" s="28">
        <v>1024</v>
      </c>
      <c r="C229" s="28" t="str">
        <f>VLOOKUP(Tabela25[[#This Row],[GRUPO]],[1]Produto!H69:I407,2,0)</f>
        <v>MS Fabulosos 400ml</v>
      </c>
      <c r="D229" s="43" t="s">
        <v>253</v>
      </c>
      <c r="E229" s="44">
        <v>18</v>
      </c>
      <c r="F229" s="44">
        <v>19</v>
      </c>
      <c r="G229" s="21">
        <f>VLOOKUP(Tabela25[[#This Row],[CÓDIGO]],'[1]Estrutura Loja'!$B$3:$M$2941,5,0)</f>
        <v>18.41874701438849</v>
      </c>
      <c r="H229" s="45">
        <f t="shared" si="3"/>
        <v>-0.41874701438849016</v>
      </c>
      <c r="I229" s="44">
        <v>18</v>
      </c>
      <c r="J22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0.1935326849999999</v>
      </c>
      <c r="K229" s="46">
        <f>Tabela25[[#This Row],[PREÇO PRATICADO]]*Tabela25[[#This Row],[LUCRO REAL %]]</f>
        <v>3.4835883299999981</v>
      </c>
      <c r="L229" s="24"/>
      <c r="M229" s="54">
        <f>IF(Tabela25[[#This Row],[QUANT. VENDA]]=0,0,((Tabela25[[#This Row],[CUSTO]]*Tabela25[[#This Row],[QUANT. VENDA]])/(Tabela25[[#This Row],[QUANT. VENDA]]*Tabela25[[#This Row],[PREÇO PRATICADO]])))</f>
        <v>0</v>
      </c>
      <c r="N229" s="48">
        <f>VLOOKUP(Tabela25[[#This Row],[CÓDIGO]],'[1]Estrutura Loja'!$B$3:$E$1825,4,0)</f>
        <v>5.1204116700000011</v>
      </c>
      <c r="O229" s="48">
        <f>Tabela25[[#This Row],[QUANT. VENDA]]*Tabela25[[#This Row],[PREÇO PRATICADO]]</f>
        <v>0</v>
      </c>
      <c r="P229" s="48">
        <f>Tabela25[[#This Row],[QUANT. VENDA]]*Tabela25[[#This Row],[CUSTO]]</f>
        <v>0</v>
      </c>
      <c r="Q229" s="49">
        <f>Tabela25[[#This Row],[CUSTO]]/Tabela25[[#This Row],[PREÇO PRATICADO]]</f>
        <v>0.28446731500000005</v>
      </c>
    </row>
    <row r="230" spans="1:17" x14ac:dyDescent="0.3">
      <c r="A230" s="66">
        <v>100400052</v>
      </c>
      <c r="B230" s="28">
        <v>1024</v>
      </c>
      <c r="C230" s="28" t="str">
        <f>VLOOKUP(Tabela25[[#This Row],[GRUPO]],[1]Produto!H71:I407,2,0)</f>
        <v>MS Fabulosos 400ml</v>
      </c>
      <c r="D230" s="51" t="s">
        <v>254</v>
      </c>
      <c r="E230" s="44">
        <v>18</v>
      </c>
      <c r="F230" s="44">
        <v>19</v>
      </c>
      <c r="G230" s="21">
        <f>VLOOKUP(Tabela25[[#This Row],[CÓDIGO]],'[1]Estrutura Loja'!$B$3:$M$2941,5,0)</f>
        <v>16.334613055732632</v>
      </c>
      <c r="H230" s="37">
        <f t="shared" si="3"/>
        <v>1.6653869442673681</v>
      </c>
      <c r="I230" s="44">
        <v>18</v>
      </c>
      <c r="J230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0.22572097613924041</v>
      </c>
      <c r="K230" s="53">
        <f>Tabela25[[#This Row],[PREÇO PRATICADO]]*Tabela25[[#This Row],[LUCRO REAL %]]</f>
        <v>4.0629775705063276</v>
      </c>
      <c r="L230" s="24"/>
      <c r="M230" s="54">
        <f>IF(Tabela25[[#This Row],[QUANT. VENDA]]=0,0,((Tabela25[[#This Row],[CUSTO]]*Tabela25[[#This Row],[QUANT. VENDA]])/(Tabela25[[#This Row],[QUANT. VENDA]]*Tabela25[[#This Row],[PREÇO PRATICADO]])))</f>
        <v>0</v>
      </c>
      <c r="N230" s="39">
        <f>VLOOKUP(Tabela25[[#This Row],[CÓDIGO]],'[1]Estrutura Loja'!$B$3:$E$1825,4,0)</f>
        <v>4.5410224294936716</v>
      </c>
      <c r="O230" s="39">
        <f>Tabela25[[#This Row],[QUANT. VENDA]]*Tabela25[[#This Row],[PREÇO PRATICADO]]</f>
        <v>0</v>
      </c>
      <c r="P230" s="39">
        <f>Tabela25[[#This Row],[QUANT. VENDA]]*Tabela25[[#This Row],[CUSTO]]</f>
        <v>0</v>
      </c>
      <c r="Q230" s="55">
        <f>Tabela25[[#This Row],[CUSTO]]/Tabela25[[#This Row],[PREÇO PRATICADO]]</f>
        <v>0.25227902386075951</v>
      </c>
    </row>
    <row r="231" spans="1:17" x14ac:dyDescent="0.3">
      <c r="A231" s="66">
        <v>100400054</v>
      </c>
      <c r="B231" s="28">
        <v>1024</v>
      </c>
      <c r="C231" s="28" t="str">
        <f>VLOOKUP(Tabela25[[#This Row],[GRUPO]],[1]Produto!H65:I403,2,0)</f>
        <v>MS Fabulosos 400ml</v>
      </c>
      <c r="D231" s="51" t="s">
        <v>255</v>
      </c>
      <c r="E231" s="44">
        <v>18</v>
      </c>
      <c r="F231" s="44">
        <v>19</v>
      </c>
      <c r="G231" s="21">
        <f>VLOOKUP(Tabela25[[#This Row],[CÓDIGO]],'[1]Estrutura Loja'!$B$3:$M$2941,5,0)</f>
        <v>19.026113085817066</v>
      </c>
      <c r="H231" s="37">
        <f t="shared" si="3"/>
        <v>-1.026113085817066</v>
      </c>
      <c r="I231" s="44">
        <v>18</v>
      </c>
      <c r="J231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0.18415225345238082</v>
      </c>
      <c r="K231" s="53">
        <f>Tabela25[[#This Row],[PREÇO PRATICADO]]*Tabela25[[#This Row],[LUCRO REAL %]]</f>
        <v>3.3147405621428545</v>
      </c>
      <c r="L231" s="24"/>
      <c r="M231" s="54">
        <f>IF(Tabela25[[#This Row],[QUANT. VENDA]]=0,0,((Tabela25[[#This Row],[CUSTO]]*Tabela25[[#This Row],[QUANT. VENDA]])/(Tabela25[[#This Row],[QUANT. VENDA]]*Tabela25[[#This Row],[PREÇO PRATICADO]])))</f>
        <v>0</v>
      </c>
      <c r="N231" s="39">
        <f>VLOOKUP(Tabela25[[#This Row],[CÓDIGO]],'[1]Estrutura Loja'!$B$3:$E$1825,4,0)</f>
        <v>5.2892594378571447</v>
      </c>
      <c r="O231" s="39">
        <f>Tabela25[[#This Row],[QUANT. VENDA]]*Tabela25[[#This Row],[PREÇO PRATICADO]]</f>
        <v>0</v>
      </c>
      <c r="P231" s="39">
        <f>Tabela25[[#This Row],[QUANT. VENDA]]*Tabela25[[#This Row],[CUSTO]]</f>
        <v>0</v>
      </c>
      <c r="Q231" s="55">
        <f>Tabela25[[#This Row],[CUSTO]]/Tabela25[[#This Row],[PREÇO PRATICADO]]</f>
        <v>0.29384774654761914</v>
      </c>
    </row>
    <row r="232" spans="1:17" x14ac:dyDescent="0.3">
      <c r="A232" s="66">
        <v>100400057</v>
      </c>
      <c r="B232" s="28">
        <v>1024</v>
      </c>
      <c r="C232" s="28" t="str">
        <f>VLOOKUP(Tabela25[[#This Row],[GRUPO]],[1]Produto!H67:I405,2,0)</f>
        <v>MS Fabulosos 400ml</v>
      </c>
      <c r="D232" s="51" t="s">
        <v>256</v>
      </c>
      <c r="E232" s="36">
        <v>25</v>
      </c>
      <c r="F232" s="36">
        <v>28</v>
      </c>
      <c r="G232" s="37">
        <f>VLOOKUP(Tabela25[[#This Row],[CÓDIGO]],'[1]Estrutura Loja'!$B$3:$M$2941,5,0)</f>
        <v>24.470729285714285</v>
      </c>
      <c r="H232" s="37">
        <f t="shared" si="3"/>
        <v>0.52927071428571537</v>
      </c>
      <c r="I232" s="36">
        <v>25</v>
      </c>
      <c r="J232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0.20588549034285708</v>
      </c>
      <c r="K232" s="53">
        <f>Tabela25[[#This Row],[PREÇO PRATICADO]]*Tabela25[[#This Row],[LUCRO REAL %]]</f>
        <v>5.1471372585714272</v>
      </c>
      <c r="L232" s="38"/>
      <c r="M232" s="67">
        <f>IF(Tabela25[[#This Row],[QUANT. VENDA]]=0,0,((Tabela25[[#This Row],[CUSTO]]*Tabela25[[#This Row],[QUANT. VENDA]])/(Tabela25[[#This Row],[QUANT. VENDA]]*Tabela25[[#This Row],[PREÇO PRATICADO]])))</f>
        <v>0</v>
      </c>
      <c r="N232" s="39">
        <f>VLOOKUP(Tabela25[[#This Row],[CÓDIGO]],'[1]Estrutura Loja'!$B$3:$E$1825,4,0)</f>
        <v>6.8028627414285721</v>
      </c>
      <c r="O232" s="39">
        <f>Tabela25[[#This Row],[QUANT. VENDA]]*Tabela25[[#This Row],[PREÇO PRATICADO]]</f>
        <v>0</v>
      </c>
      <c r="P232" s="39">
        <f>Tabela25[[#This Row],[QUANT. VENDA]]*Tabela25[[#This Row],[CUSTO]]</f>
        <v>0</v>
      </c>
      <c r="Q232" s="55">
        <f>Tabela25[[#This Row],[CUSTO]]/Tabela25[[#This Row],[PREÇO PRATICADO]]</f>
        <v>0.2721145096571429</v>
      </c>
    </row>
    <row r="233" spans="1:17" x14ac:dyDescent="0.3">
      <c r="A233" s="42">
        <v>100400029</v>
      </c>
      <c r="B233" s="28">
        <v>1024</v>
      </c>
      <c r="C233" s="28" t="s">
        <v>248</v>
      </c>
      <c r="D233" s="43" t="s">
        <v>257</v>
      </c>
      <c r="E233" s="44">
        <v>18</v>
      </c>
      <c r="F233" s="44">
        <v>19</v>
      </c>
      <c r="G233" s="21">
        <f>VLOOKUP(Tabela25[[#This Row],[CÓDIGO]],'[1]Estrutura Loja'!$B$3:$M$2941,5,0)</f>
        <v>15.929358525179858</v>
      </c>
      <c r="H233" s="45">
        <f t="shared" si="3"/>
        <v>2.0706414748201425</v>
      </c>
      <c r="I233" s="44">
        <v>18</v>
      </c>
      <c r="J23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0.23197990722222211</v>
      </c>
      <c r="K233" s="46">
        <f>Tabela25[[#This Row],[PREÇO PRATICADO]]*Tabela25[[#This Row],[LUCRO REAL %]]</f>
        <v>4.1756383299999982</v>
      </c>
      <c r="L233" s="24"/>
      <c r="M233" s="54">
        <f>IF(Tabela25[[#This Row],[QUANT. VENDA]]=0,0,((Tabela25[[#This Row],[CUSTO]]*Tabela25[[#This Row],[QUANT. VENDA]])/(Tabela25[[#This Row],[QUANT. VENDA]]*Tabela25[[#This Row],[PREÇO PRATICADO]])))</f>
        <v>0</v>
      </c>
      <c r="N233" s="48">
        <f>VLOOKUP(Tabela25[[#This Row],[CÓDIGO]],'[1]Estrutura Loja'!$B$3:$E$1825,4,0)</f>
        <v>4.428361670000001</v>
      </c>
      <c r="O233" s="48">
        <f>Tabela25[[#This Row],[QUANT. VENDA]]*Tabela25[[#This Row],[PREÇO PRATICADO]]</f>
        <v>0</v>
      </c>
      <c r="P233" s="48">
        <f>Tabela25[[#This Row],[QUANT. VENDA]]*Tabela25[[#This Row],[CUSTO]]</f>
        <v>0</v>
      </c>
      <c r="Q233" s="49">
        <f>Tabela25[[#This Row],[CUSTO]]/Tabela25[[#This Row],[PREÇO PRATICADO]]</f>
        <v>0.24602009277777784</v>
      </c>
    </row>
    <row r="234" spans="1:17" x14ac:dyDescent="0.3">
      <c r="A234" s="42">
        <v>100400037</v>
      </c>
      <c r="B234" s="28">
        <v>1024</v>
      </c>
      <c r="C234" s="28" t="s">
        <v>248</v>
      </c>
      <c r="D234" s="43" t="s">
        <v>258</v>
      </c>
      <c r="E234" s="44">
        <v>18</v>
      </c>
      <c r="F234" s="44">
        <v>19</v>
      </c>
      <c r="G234" s="21">
        <f>VLOOKUP(Tabela25[[#This Row],[CÓDIGO]],'[1]Estrutura Loja'!$B$3:$M$2941,5,0)</f>
        <v>21.754613417266189</v>
      </c>
      <c r="H234" s="45">
        <f t="shared" si="3"/>
        <v>-3.7546134172661887</v>
      </c>
      <c r="I234" s="44">
        <v>18</v>
      </c>
      <c r="J23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0.14201208166666657</v>
      </c>
      <c r="K234" s="46">
        <f>Tabela25[[#This Row],[PREÇO PRATICADO]]*Tabela25[[#This Row],[LUCRO REAL %]]</f>
        <v>2.5562174699999982</v>
      </c>
      <c r="L234" s="24"/>
      <c r="M234" s="54">
        <f>IF(Tabela25[[#This Row],[QUANT. VENDA]]=0,0,((Tabela25[[#This Row],[CUSTO]]*Tabela25[[#This Row],[QUANT. VENDA]])/(Tabela25[[#This Row],[QUANT. VENDA]]*Tabela25[[#This Row],[PREÇO PRATICADO]])))</f>
        <v>0</v>
      </c>
      <c r="N234" s="48">
        <f>VLOOKUP(Tabela25[[#This Row],[CÓDIGO]],'[1]Estrutura Loja'!$B$3:$E$1825,4,0)</f>
        <v>6.047782530000001</v>
      </c>
      <c r="O234" s="48">
        <f>Tabela25[[#This Row],[QUANT. VENDA]]*Tabela25[[#This Row],[PREÇO PRATICADO]]</f>
        <v>0</v>
      </c>
      <c r="P234" s="48">
        <f>Tabela25[[#This Row],[QUANT. VENDA]]*Tabela25[[#This Row],[CUSTO]]</f>
        <v>0</v>
      </c>
      <c r="Q234" s="49">
        <f>Tabela25[[#This Row],[CUSTO]]/Tabela25[[#This Row],[PREÇO PRATICADO]]</f>
        <v>0.33598791833333341</v>
      </c>
    </row>
    <row r="235" spans="1:17" x14ac:dyDescent="0.3">
      <c r="A235" s="66">
        <v>100400056</v>
      </c>
      <c r="B235" s="28">
        <v>1024</v>
      </c>
      <c r="C235" s="28" t="str">
        <f>VLOOKUP(Tabela25[[#This Row],[GRUPO]],[1]Produto!H66:I404,2,0)</f>
        <v>MS Fabulosos 400ml</v>
      </c>
      <c r="D235" s="51" t="s">
        <v>259</v>
      </c>
      <c r="E235" s="36">
        <v>25</v>
      </c>
      <c r="F235" s="36">
        <v>28</v>
      </c>
      <c r="G235" s="37">
        <f>VLOOKUP(Tabela25[[#This Row],[CÓDIGO]],'[1]Estrutura Loja'!$B$3:$M$2941,5,0)</f>
        <v>21.593438689619731</v>
      </c>
      <c r="H235" s="37">
        <f t="shared" si="3"/>
        <v>3.406561310380269</v>
      </c>
      <c r="I235" s="36">
        <v>25</v>
      </c>
      <c r="J235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0.23788096177142853</v>
      </c>
      <c r="K235" s="53">
        <f>Tabela25[[#This Row],[PREÇO PRATICADO]]*Tabela25[[#This Row],[LUCRO REAL %]]</f>
        <v>5.9470240442857136</v>
      </c>
      <c r="L235" s="38"/>
      <c r="M235" s="67">
        <f>IF(Tabela25[[#This Row],[QUANT. VENDA]]=0,0,((Tabela25[[#This Row],[CUSTO]]*Tabela25[[#This Row],[QUANT. VENDA]])/(Tabela25[[#This Row],[QUANT. VENDA]]*Tabela25[[#This Row],[PREÇO PRATICADO]])))</f>
        <v>0</v>
      </c>
      <c r="N235" s="39">
        <f>VLOOKUP(Tabela25[[#This Row],[CÓDIGO]],'[1]Estrutura Loja'!$B$3:$E$1825,4,0)</f>
        <v>6.0029759557142857</v>
      </c>
      <c r="O235" s="39">
        <f>Tabela25[[#This Row],[QUANT. VENDA]]*Tabela25[[#This Row],[PREÇO PRATICADO]]</f>
        <v>0</v>
      </c>
      <c r="P235" s="39">
        <f>Tabela25[[#This Row],[QUANT. VENDA]]*Tabela25[[#This Row],[CUSTO]]</f>
        <v>0</v>
      </c>
      <c r="Q235" s="55">
        <f>Tabela25[[#This Row],[CUSTO]]/Tabela25[[#This Row],[PREÇO PRATICADO]]</f>
        <v>0.24011903822857142</v>
      </c>
    </row>
    <row r="236" spans="1:17" x14ac:dyDescent="0.3">
      <c r="A236" s="66">
        <v>100400061</v>
      </c>
      <c r="B236" s="28">
        <v>1024</v>
      </c>
      <c r="C236" s="28" t="str">
        <f>VLOOKUP(Tabela25[[#This Row],[GRUPO]],[1]Produto!H71:I409,2,0)</f>
        <v>MS Fabulosos 400ml</v>
      </c>
      <c r="D236" s="51" t="s">
        <v>260</v>
      </c>
      <c r="E236" s="36">
        <v>33</v>
      </c>
      <c r="F236" s="36">
        <v>35</v>
      </c>
      <c r="G236" s="37">
        <f>VLOOKUP(Tabela25[[#This Row],[CÓDIGO]],'[1]Estrutura Loja'!$B$3:$M$2941,5,0)</f>
        <v>36.015041978417266</v>
      </c>
      <c r="H236" s="37">
        <f t="shared" si="3"/>
        <v>-3.0150419784172655</v>
      </c>
      <c r="I236" s="36">
        <v>33</v>
      </c>
      <c r="J236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0.17460055545454548</v>
      </c>
      <c r="K236" s="53">
        <f>Tabela25[[#This Row],[PREÇO PRATICADO]]*Tabela25[[#This Row],[LUCRO REAL %]]</f>
        <v>5.7618183300000005</v>
      </c>
      <c r="L236" s="38"/>
      <c r="M236" s="67">
        <f>IF(Tabela25[[#This Row],[QUANT. VENDA]]=0,0,((Tabela25[[#This Row],[CUSTO]]*Tabela25[[#This Row],[QUANT. VENDA]])/(Tabela25[[#This Row],[QUANT. VENDA]]*Tabela25[[#This Row],[PREÇO PRATICADO]])))</f>
        <v>0</v>
      </c>
      <c r="N236" s="39">
        <f>VLOOKUP(Tabela25[[#This Row],[CÓDIGO]],'[1]Estrutura Loja'!$B$3:$E$1825,4,0)</f>
        <v>10.01218167</v>
      </c>
      <c r="O236" s="39">
        <f>Tabela25[[#This Row],[QUANT. VENDA]]*Tabela25[[#This Row],[PREÇO PRATICADO]]</f>
        <v>0</v>
      </c>
      <c r="P236" s="39">
        <f>Tabela25[[#This Row],[QUANT. VENDA]]*Tabela25[[#This Row],[CUSTO]]</f>
        <v>0</v>
      </c>
      <c r="Q236" s="55">
        <f>Tabela25[[#This Row],[CUSTO]]/Tabela25[[#This Row],[PREÇO PRATICADO]]</f>
        <v>0.30339944454545453</v>
      </c>
    </row>
    <row r="237" spans="1:17" x14ac:dyDescent="0.3">
      <c r="A237" s="42">
        <v>100500059</v>
      </c>
      <c r="B237" s="28">
        <v>1025</v>
      </c>
      <c r="C237" s="28" t="str">
        <f>VLOOKUP(Tabela25[[#This Row],[GRUPO]],[1]Produto!H14:I433,2,0)</f>
        <v>MS Fabulosos 500ml</v>
      </c>
      <c r="D237" s="51" t="s">
        <v>261</v>
      </c>
      <c r="E237" s="36">
        <v>30</v>
      </c>
      <c r="F237" s="36">
        <v>32</v>
      </c>
      <c r="G237" s="37">
        <f>VLOOKUP(Tabela25[[#This Row],[CÓDIGO]],'[1]Estrutura Loja'!$B$3:$M$2941,5,0)</f>
        <v>32.087974092725823</v>
      </c>
      <c r="H237" s="37">
        <f t="shared" si="3"/>
        <v>-2.0879740927258226</v>
      </c>
      <c r="I237" s="36">
        <v>30</v>
      </c>
      <c r="J237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0.18065144007407402</v>
      </c>
      <c r="K237" s="53">
        <f>Tabela25[[#This Row],[PREÇO PRATICADO]]*Tabela25[[#This Row],[LUCRO REAL %]]</f>
        <v>5.4195432022222203</v>
      </c>
      <c r="L237" s="38"/>
      <c r="M237" s="67">
        <f>IF(Tabela25[[#This Row],[QUANT. VENDA]]=0,0,((Tabela25[[#This Row],[CUSTO]]*Tabela25[[#This Row],[QUANT. VENDA]])/(Tabela25[[#This Row],[QUANT. VENDA]]*Tabela25[[#This Row],[PREÇO PRATICADO]])))</f>
        <v>0</v>
      </c>
      <c r="N237" s="39">
        <f>VLOOKUP(Tabela25[[#This Row],[CÓDIGO]],'[1]Estrutura Loja'!$B$3:$E$1825,4,0)</f>
        <v>8.9204567977777796</v>
      </c>
      <c r="O237" s="39">
        <f>Tabela25[[#This Row],[QUANT. VENDA]]*Tabela25[[#This Row],[PREÇO PRATICADO]]</f>
        <v>0</v>
      </c>
      <c r="P237" s="39">
        <f>Tabela25[[#This Row],[QUANT. VENDA]]*Tabela25[[#This Row],[CUSTO]]</f>
        <v>0</v>
      </c>
      <c r="Q237" s="55">
        <f>Tabela25[[#This Row],[CUSTO]]/Tabela25[[#This Row],[PREÇO PRATICADO]]</f>
        <v>0.29734855992592596</v>
      </c>
    </row>
    <row r="238" spans="1:17" x14ac:dyDescent="0.3">
      <c r="A238" s="42">
        <v>100500058</v>
      </c>
      <c r="B238" s="28">
        <v>1025</v>
      </c>
      <c r="C238" s="28" t="str">
        <f>VLOOKUP(Tabela25[[#This Row],[GRUPO]],[1]Produto!H13:I432,2,0)</f>
        <v>MS Fabulosos 500ml</v>
      </c>
      <c r="D238" s="51" t="s">
        <v>262</v>
      </c>
      <c r="E238" s="36">
        <v>30</v>
      </c>
      <c r="F238" s="36">
        <v>32</v>
      </c>
      <c r="G238" s="37">
        <f>VLOOKUP(Tabela25[[#This Row],[CÓDIGO]],'[1]Estrutura Loja'!$B$3:$M$2941,5,0)</f>
        <v>28.694878483137543</v>
      </c>
      <c r="H238" s="37">
        <f t="shared" si="3"/>
        <v>1.3051215168624566</v>
      </c>
      <c r="I238" s="36">
        <v>30</v>
      </c>
      <c r="J238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0.21209412605625874</v>
      </c>
      <c r="K238" s="53">
        <f>Tabela25[[#This Row],[PREÇO PRATICADO]]*Tabela25[[#This Row],[LUCRO REAL %]]</f>
        <v>6.3628237816877622</v>
      </c>
      <c r="L238" s="38"/>
      <c r="M238" s="67">
        <f>IF(Tabela25[[#This Row],[QUANT. VENDA]]=0,0,((Tabela25[[#This Row],[CUSTO]]*Tabela25[[#This Row],[QUANT. VENDA]])/(Tabela25[[#This Row],[QUANT. VENDA]]*Tabela25[[#This Row],[PREÇO PRATICADO]])))</f>
        <v>0</v>
      </c>
      <c r="N238" s="39">
        <f>VLOOKUP(Tabela25[[#This Row],[CÓDIGO]],'[1]Estrutura Loja'!$B$3:$E$1825,4,0)</f>
        <v>7.9771762183122377</v>
      </c>
      <c r="O238" s="39">
        <f>Tabela25[[#This Row],[QUANT. VENDA]]*Tabela25[[#This Row],[PREÇO PRATICADO]]</f>
        <v>0</v>
      </c>
      <c r="P238" s="39">
        <f>Tabela25[[#This Row],[QUANT. VENDA]]*Tabela25[[#This Row],[CUSTO]]</f>
        <v>0</v>
      </c>
      <c r="Q238" s="55">
        <f>Tabela25[[#This Row],[CUSTO]]/Tabela25[[#This Row],[PREÇO PRATICADO]]</f>
        <v>0.26590587394374127</v>
      </c>
    </row>
    <row r="239" spans="1:17" x14ac:dyDescent="0.3">
      <c r="A239" s="42">
        <v>100500047</v>
      </c>
      <c r="B239" s="28">
        <v>1025</v>
      </c>
      <c r="C239" s="28" t="str">
        <f>VLOOKUP(Tabela25[[#This Row],[GRUPO]],[1]Produto!H9:I429,2,0)</f>
        <v>MS Fabulosos 500ml</v>
      </c>
      <c r="D239" s="43" t="s">
        <v>263</v>
      </c>
      <c r="E239" s="44">
        <v>21</v>
      </c>
      <c r="F239" s="44">
        <v>23</v>
      </c>
      <c r="G239" s="21">
        <f>VLOOKUP(Tabela25[[#This Row],[CÓDIGO]],'[1]Estrutura Loja'!$B$3:$M$2941,5,0)</f>
        <v>20.755046402877699</v>
      </c>
      <c r="H239" s="45">
        <f t="shared" si="3"/>
        <v>0.24495359712230069</v>
      </c>
      <c r="I239" s="44">
        <v>21</v>
      </c>
      <c r="J23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0.20324271904761901</v>
      </c>
      <c r="K239" s="46">
        <f>Tabela25[[#This Row],[PREÇO PRATICADO]]*Tabela25[[#This Row],[LUCRO REAL %]]</f>
        <v>4.2680970999999994</v>
      </c>
      <c r="L239" s="24"/>
      <c r="M239" s="54">
        <f>IF(Tabela25[[#This Row],[QUANT. VENDA]]=0,0,((Tabela25[[#This Row],[CUSTO]]*Tabela25[[#This Row],[QUANT. VENDA]])/(Tabela25[[#This Row],[QUANT. VENDA]]*Tabela25[[#This Row],[PREÇO PRATICADO]])))</f>
        <v>0</v>
      </c>
      <c r="N239" s="48">
        <f>VLOOKUP(Tabela25[[#This Row],[CÓDIGO]],'[1]Estrutura Loja'!$B$3:$E$1825,4,0)</f>
        <v>5.7699029000000008</v>
      </c>
      <c r="O239" s="48">
        <f>Tabela25[[#This Row],[QUANT. VENDA]]*Tabela25[[#This Row],[PREÇO PRATICADO]]</f>
        <v>0</v>
      </c>
      <c r="P239" s="48">
        <f>Tabela25[[#This Row],[QUANT. VENDA]]*Tabela25[[#This Row],[CUSTO]]</f>
        <v>0</v>
      </c>
      <c r="Q239" s="49">
        <f>Tabela25[[#This Row],[CUSTO]]/Tabela25[[#This Row],[PREÇO PRATICADO]]</f>
        <v>0.274757280952381</v>
      </c>
    </row>
    <row r="240" spans="1:17" x14ac:dyDescent="0.3">
      <c r="A240" s="42">
        <v>100500060</v>
      </c>
      <c r="B240" s="28">
        <v>1025</v>
      </c>
      <c r="C240" s="28" t="str">
        <f>VLOOKUP(Tabela25[[#This Row],[GRUPO]],[1]Produto!H15:I434,2,0)</f>
        <v>MS Fabulosos 500ml</v>
      </c>
      <c r="D240" s="51" t="s">
        <v>264</v>
      </c>
      <c r="E240" s="36">
        <v>38</v>
      </c>
      <c r="F240" s="36">
        <v>40</v>
      </c>
      <c r="G240" s="37">
        <f>VLOOKUP(Tabela25[[#This Row],[CÓDIGO]],'[1]Estrutura Loja'!$B$3:$M$2941,5,0)</f>
        <v>41.762003669064747</v>
      </c>
      <c r="H240" s="37">
        <f t="shared" si="3"/>
        <v>-3.7620036690647467</v>
      </c>
      <c r="I240" s="36">
        <v>38</v>
      </c>
      <c r="J240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0.17247797315789468</v>
      </c>
      <c r="K240" s="53">
        <f>Tabela25[[#This Row],[PREÇO PRATICADO]]*Tabela25[[#This Row],[LUCRO REAL %]]</f>
        <v>6.5541629799999974</v>
      </c>
      <c r="L240" s="38"/>
      <c r="M240" s="67">
        <f>IF(Tabela25[[#This Row],[QUANT. VENDA]]=0,0,((Tabela25[[#This Row],[CUSTO]]*Tabela25[[#This Row],[QUANT. VENDA]])/(Tabela25[[#This Row],[QUANT. VENDA]]*Tabela25[[#This Row],[PREÇO PRATICADO]])))</f>
        <v>0</v>
      </c>
      <c r="N240" s="39">
        <f>VLOOKUP(Tabela25[[#This Row],[CÓDIGO]],'[1]Estrutura Loja'!$B$3:$E$1825,4,0)</f>
        <v>11.609837020000001</v>
      </c>
      <c r="O240" s="39">
        <f>Tabela25[[#This Row],[QUANT. VENDA]]*Tabela25[[#This Row],[PREÇO PRATICADO]]</f>
        <v>0</v>
      </c>
      <c r="P240" s="39">
        <f>Tabela25[[#This Row],[QUANT. VENDA]]*Tabela25[[#This Row],[CUSTO]]</f>
        <v>0</v>
      </c>
      <c r="Q240" s="55">
        <f>Tabela25[[#This Row],[CUSTO]]/Tabela25[[#This Row],[PREÇO PRATICADO]]</f>
        <v>0.30552202684210528</v>
      </c>
    </row>
    <row r="241" spans="1:22" x14ac:dyDescent="0.3">
      <c r="A241" s="42">
        <v>100500063</v>
      </c>
      <c r="B241" s="28">
        <v>1025</v>
      </c>
      <c r="C241" s="28" t="str">
        <f>VLOOKUP(Tabela25[[#This Row],[GRUPO]],[1]Produto!H17:I436,2,0)</f>
        <v>MS Fabulosos 500ml</v>
      </c>
      <c r="D241" s="51" t="s">
        <v>265</v>
      </c>
      <c r="E241" s="36">
        <v>38</v>
      </c>
      <c r="F241" s="36">
        <v>40</v>
      </c>
      <c r="G241" s="37">
        <f>VLOOKUP(Tabela25[[#This Row],[CÓDIGO]],'[1]Estrutura Loja'!$B$3:$M$2941,5,0)</f>
        <v>33.762795035971223</v>
      </c>
      <c r="H241" s="37">
        <f t="shared" si="3"/>
        <v>4.237204964028777</v>
      </c>
      <c r="I241" s="36">
        <v>38</v>
      </c>
      <c r="J241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0.23099849947368414</v>
      </c>
      <c r="K241" s="53">
        <f>Tabela25[[#This Row],[PREÇO PRATICADO]]*Tabela25[[#This Row],[LUCRO REAL %]]</f>
        <v>8.7779429799999971</v>
      </c>
      <c r="L241" s="38"/>
      <c r="M241" s="67">
        <f>IF(Tabela25[[#This Row],[QUANT. VENDA]]=0,0,((Tabela25[[#This Row],[CUSTO]]*Tabela25[[#This Row],[QUANT. VENDA]])/(Tabela25[[#This Row],[QUANT. VENDA]]*Tabela25[[#This Row],[PREÇO PRATICADO]])))</f>
        <v>0</v>
      </c>
      <c r="N241" s="39">
        <f>VLOOKUP(Tabela25[[#This Row],[CÓDIGO]],'[1]Estrutura Loja'!$B$3:$E$1825,4,0)</f>
        <v>9.3860570200000009</v>
      </c>
      <c r="O241" s="39">
        <f>Tabela25[[#This Row],[QUANT. VENDA]]*Tabela25[[#This Row],[PREÇO PRATICADO]]</f>
        <v>0</v>
      </c>
      <c r="P241" s="39">
        <f>Tabela25[[#This Row],[QUANT. VENDA]]*Tabela25[[#This Row],[CUSTO]]</f>
        <v>0</v>
      </c>
      <c r="Q241" s="55">
        <f>Tabela25[[#This Row],[CUSTO]]/Tabela25[[#This Row],[PREÇO PRATICADO]]</f>
        <v>0.24700150052631581</v>
      </c>
    </row>
    <row r="242" spans="1:22" x14ac:dyDescent="0.3">
      <c r="A242" s="42">
        <v>100500042</v>
      </c>
      <c r="B242" s="28">
        <v>1025</v>
      </c>
      <c r="C242" s="28" t="str">
        <f>VLOOKUP(Tabela25[[#This Row],[GRUPO]],[1]Produto!H8:I429,2,0)</f>
        <v>MS Fabulosos 500ml</v>
      </c>
      <c r="D242" s="43" t="s">
        <v>266</v>
      </c>
      <c r="E242" s="44">
        <v>21</v>
      </c>
      <c r="F242" s="44">
        <v>23</v>
      </c>
      <c r="G242" s="21">
        <f>VLOOKUP(Tabela25[[#This Row],[CÓDIGO]],'[1]Estrutura Loja'!$B$3:$M$2941,5,0)</f>
        <v>26.500030390544708</v>
      </c>
      <c r="H242" s="45">
        <f t="shared" si="3"/>
        <v>-5.5000303905447083</v>
      </c>
      <c r="I242" s="44">
        <v>21</v>
      </c>
      <c r="J24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0.12719007387755102</v>
      </c>
      <c r="K242" s="46">
        <f>Tabela25[[#This Row],[PREÇO PRATICADO]]*Tabela25[[#This Row],[LUCRO REAL %]]</f>
        <v>2.6709915514285716</v>
      </c>
      <c r="L242" s="24"/>
      <c r="M242" s="54">
        <f>IF(Tabela25[[#This Row],[QUANT. VENDA]]=0,0,((Tabela25[[#This Row],[CUSTO]]*Tabela25[[#This Row],[QUANT. VENDA]])/(Tabela25[[#This Row],[QUANT. VENDA]]*Tabela25[[#This Row],[PREÇO PRATICADO]])))</f>
        <v>0</v>
      </c>
      <c r="N242" s="39">
        <f>VLOOKUP(Tabela25[[#This Row],[CÓDIGO]],'[1]Estrutura Loja'!$B$3:$E$1825,4,0)</f>
        <v>7.3670084485714291</v>
      </c>
      <c r="O242" s="48">
        <f>Tabela25[[#This Row],[QUANT. VENDA]]*Tabela25[[#This Row],[PREÇO PRATICADO]]</f>
        <v>0</v>
      </c>
      <c r="P242" s="48">
        <f>Tabela25[[#This Row],[QUANT. VENDA]]*Tabela25[[#This Row],[CUSTO]]</f>
        <v>0</v>
      </c>
      <c r="Q242" s="49">
        <f>Tabela25[[#This Row],[CUSTO]]/Tabela25[[#This Row],[PREÇO PRATICADO]]</f>
        <v>0.35080992612244899</v>
      </c>
      <c r="S242" s="40"/>
      <c r="T242" s="40"/>
    </row>
    <row r="243" spans="1:22" x14ac:dyDescent="0.3">
      <c r="A243" s="42">
        <v>100500048</v>
      </c>
      <c r="B243" s="28">
        <v>1005</v>
      </c>
      <c r="C243" s="28" t="s">
        <v>267</v>
      </c>
      <c r="D243" s="43" t="s">
        <v>268</v>
      </c>
      <c r="E243" s="44">
        <v>21</v>
      </c>
      <c r="F243" s="44">
        <v>23</v>
      </c>
      <c r="G243" s="21">
        <f>VLOOKUP(Tabela25[[#This Row],[CÓDIGO]],'[1]Estrutura Loja'!$B$3:$M$2941,5,0)</f>
        <v>25.758442517985614</v>
      </c>
      <c r="H243" s="45">
        <f t="shared" si="3"/>
        <v>-4.758442517985614</v>
      </c>
      <c r="I243" s="44">
        <v>21</v>
      </c>
      <c r="J24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0.13700728476190471</v>
      </c>
      <c r="K243" s="46">
        <f>Tabela25[[#This Row],[PREÇO PRATICADO]]*Tabela25[[#This Row],[LUCRO REAL %]]</f>
        <v>2.8771529799999991</v>
      </c>
      <c r="L243" s="24"/>
      <c r="M243" s="54">
        <f>IF(Tabela25[[#This Row],[QUANT. VENDA]]=0,0,((Tabela25[[#This Row],[CUSTO]]*Tabela25[[#This Row],[QUANT. VENDA]])/(Tabela25[[#This Row],[QUANT. VENDA]]*Tabela25[[#This Row],[PREÇO PRATICADO]])))</f>
        <v>0</v>
      </c>
      <c r="N243" s="48">
        <f>VLOOKUP(Tabela25[[#This Row],[CÓDIGO]],'[1]Estrutura Loja'!$B$3:$E$1825,4,0)</f>
        <v>7.1608470200000012</v>
      </c>
      <c r="O243" s="48">
        <f>Tabela25[[#This Row],[QUANT. VENDA]]*Tabela25[[#This Row],[PREÇO PRATICADO]]</f>
        <v>0</v>
      </c>
      <c r="P243" s="48">
        <f>Tabela25[[#This Row],[QUANT. VENDA]]*Tabela25[[#This Row],[CUSTO]]</f>
        <v>0</v>
      </c>
      <c r="Q243" s="49">
        <f>Tabela25[[#This Row],[CUSTO]]/Tabela25[[#This Row],[PREÇO PRATICADO]]</f>
        <v>0.34099271523809527</v>
      </c>
    </row>
    <row r="244" spans="1:22" x14ac:dyDescent="0.3">
      <c r="A244" s="42">
        <v>100500038</v>
      </c>
      <c r="B244" s="28">
        <v>1025</v>
      </c>
      <c r="C244" s="28" t="str">
        <f>VLOOKUP(Tabela25[[#This Row],[GRUPO]],[1]Produto!H7:I428,2,0)</f>
        <v>MS Fabulosos 500ml</v>
      </c>
      <c r="D244" s="43" t="s">
        <v>269</v>
      </c>
      <c r="E244" s="44">
        <v>21</v>
      </c>
      <c r="F244" s="44">
        <v>23</v>
      </c>
      <c r="G244" s="21">
        <f>VLOOKUP(Tabela25[[#This Row],[CÓDIGO]],'[1]Estrutura Loja'!$B$3:$M$2941,5,0)</f>
        <v>20.128169136690648</v>
      </c>
      <c r="H244" s="45">
        <f t="shared" si="3"/>
        <v>0.87183086330935211</v>
      </c>
      <c r="I244" s="44">
        <v>21</v>
      </c>
      <c r="J24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0.21154137999999997</v>
      </c>
      <c r="K244" s="46">
        <f>Tabela25[[#This Row],[PREÇO PRATICADO]]*Tabela25[[#This Row],[LUCRO REAL %]]</f>
        <v>4.4423689799999995</v>
      </c>
      <c r="L244" s="24"/>
      <c r="M244" s="54">
        <f>IF(Tabela25[[#This Row],[QUANT. VENDA]]=0,0,((Tabela25[[#This Row],[CUSTO]]*Tabela25[[#This Row],[QUANT. VENDA]])/(Tabela25[[#This Row],[QUANT. VENDA]]*Tabela25[[#This Row],[PREÇO PRATICADO]])))</f>
        <v>0</v>
      </c>
      <c r="N244" s="48">
        <f>VLOOKUP(Tabela25[[#This Row],[CÓDIGO]],'[1]Estrutura Loja'!$B$3:$E$1825,4,0)</f>
        <v>5.5956310200000008</v>
      </c>
      <c r="O244" s="48">
        <f>Tabela25[[#This Row],[QUANT. VENDA]]*Tabela25[[#This Row],[PREÇO PRATICADO]]</f>
        <v>0</v>
      </c>
      <c r="P244" s="48">
        <f>Tabela25[[#This Row],[QUANT. VENDA]]*Tabela25[[#This Row],[CUSTO]]</f>
        <v>0</v>
      </c>
      <c r="Q244" s="49">
        <f>Tabela25[[#This Row],[CUSTO]]/Tabela25[[#This Row],[PREÇO PRATICADO]]</f>
        <v>0.26645862000000003</v>
      </c>
    </row>
    <row r="245" spans="1:22" x14ac:dyDescent="0.3">
      <c r="A245" s="42">
        <v>100500015</v>
      </c>
      <c r="B245" s="28">
        <v>1025</v>
      </c>
      <c r="C245" s="28" t="str">
        <f>VLOOKUP(Tabela25[[#This Row],[GRUPO]],[1]Produto!H1:I422,2,0)</f>
        <v>MS Fabulosos 500ml</v>
      </c>
      <c r="D245" s="43" t="s">
        <v>270</v>
      </c>
      <c r="E245" s="44">
        <v>21</v>
      </c>
      <c r="F245" s="44">
        <v>23</v>
      </c>
      <c r="G245" s="21">
        <f>VLOOKUP(Tabela25[[#This Row],[CÓDIGO]],'[1]Estrutura Loja'!$B$3:$M$2941,5,0)</f>
        <v>18.641898003597124</v>
      </c>
      <c r="H245" s="45">
        <f t="shared" si="3"/>
        <v>2.3581019964028762</v>
      </c>
      <c r="I245" s="44">
        <v>21</v>
      </c>
      <c r="J24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0.23121677880952379</v>
      </c>
      <c r="K245" s="46">
        <f>Tabela25[[#This Row],[PREÇO PRATICADO]]*Tabela25[[#This Row],[LUCRO REAL %]]</f>
        <v>4.8555523549999995</v>
      </c>
      <c r="L245" s="24"/>
      <c r="M245" s="54">
        <f>IF(Tabela25[[#This Row],[QUANT. VENDA]]=0,0,((Tabela25[[#This Row],[CUSTO]]*Tabela25[[#This Row],[QUANT. VENDA]])/(Tabela25[[#This Row],[QUANT. VENDA]]*Tabela25[[#This Row],[PREÇO PRATICADO]])))</f>
        <v>0</v>
      </c>
      <c r="N245" s="48">
        <f>VLOOKUP(Tabela25[[#This Row],[CÓDIGO]],'[1]Estrutura Loja'!$B$3:$E$1825,4,0)</f>
        <v>5.1824476450000008</v>
      </c>
      <c r="O245" s="48">
        <f>Tabela25[[#This Row],[QUANT. VENDA]]*Tabela25[[#This Row],[PREÇO PRATICADO]]</f>
        <v>0</v>
      </c>
      <c r="P245" s="48">
        <f>Tabela25[[#This Row],[QUANT. VENDA]]*Tabela25[[#This Row],[CUSTO]]</f>
        <v>0</v>
      </c>
      <c r="Q245" s="49">
        <f>Tabela25[[#This Row],[CUSTO]]/Tabela25[[#This Row],[PREÇO PRATICADO]]</f>
        <v>0.24678322119047622</v>
      </c>
    </row>
    <row r="246" spans="1:22" x14ac:dyDescent="0.3">
      <c r="A246" s="85">
        <v>100500026</v>
      </c>
      <c r="B246" s="28">
        <v>1025</v>
      </c>
      <c r="C246" s="28" t="str">
        <f>VLOOKUP(Tabela25[[#This Row],[GRUPO]],[1]Produto!H3:I424,2,0)</f>
        <v>MS Fabulosos 500ml</v>
      </c>
      <c r="D246" s="43" t="s">
        <v>271</v>
      </c>
      <c r="E246" s="44">
        <v>21</v>
      </c>
      <c r="F246" s="44">
        <v>23</v>
      </c>
      <c r="G246" s="21">
        <f>VLOOKUP(Tabela25[[#This Row],[CÓDIGO]],'[1]Estrutura Loja'!$B$3:$M$2941,5,0)</f>
        <v>22.676461103117507</v>
      </c>
      <c r="H246" s="45">
        <f t="shared" si="3"/>
        <v>-1.6764611031175072</v>
      </c>
      <c r="I246" s="44">
        <v>21</v>
      </c>
      <c r="J24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0.1778068482539682</v>
      </c>
      <c r="K246" s="46">
        <f>Tabela25[[#This Row],[PREÇO PRATICADO]]*Tabela25[[#This Row],[LUCRO REAL %]]</f>
        <v>3.7339438133333323</v>
      </c>
      <c r="L246" s="24"/>
      <c r="M246" s="54">
        <f>IF(Tabela25[[#This Row],[QUANT. VENDA]]=0,0,((Tabela25[[#This Row],[CUSTO]]*Tabela25[[#This Row],[QUANT. VENDA]])/(Tabela25[[#This Row],[QUANT. VENDA]]*Tabela25[[#This Row],[PREÇO PRATICADO]])))</f>
        <v>0</v>
      </c>
      <c r="N246" s="48">
        <f>VLOOKUP(Tabela25[[#This Row],[CÓDIGO]],'[1]Estrutura Loja'!$B$3:$E$1825,4,0)</f>
        <v>6.304056186666668</v>
      </c>
      <c r="O246" s="48">
        <f>Tabela25[[#This Row],[QUANT. VENDA]]*Tabela25[[#This Row],[PREÇO PRATICADO]]</f>
        <v>0</v>
      </c>
      <c r="P246" s="48">
        <f>Tabela25[[#This Row],[QUANT. VENDA]]*Tabela25[[#This Row],[CUSTO]]</f>
        <v>0</v>
      </c>
      <c r="Q246" s="49">
        <f>Tabela25[[#This Row],[CUSTO]]/Tabela25[[#This Row],[PREÇO PRATICADO]]</f>
        <v>0.30019315174603178</v>
      </c>
      <c r="S246" s="32"/>
      <c r="T246" s="40"/>
      <c r="V246" s="32"/>
    </row>
    <row r="247" spans="1:22" x14ac:dyDescent="0.3">
      <c r="A247" s="85">
        <v>100500020</v>
      </c>
      <c r="B247" s="28">
        <v>1025</v>
      </c>
      <c r="C247" s="28" t="str">
        <f>VLOOKUP(Tabela25[[#This Row],[GRUPO]],[1]Produto!H2:I423,2,0)</f>
        <v>MS Fabulosos 500ml</v>
      </c>
      <c r="D247" s="43" t="s">
        <v>272</v>
      </c>
      <c r="E247" s="44">
        <v>21</v>
      </c>
      <c r="F247" s="44">
        <v>23</v>
      </c>
      <c r="G247" s="21">
        <f>VLOOKUP(Tabela25[[#This Row],[CÓDIGO]],'[1]Estrutura Loja'!$B$3:$M$2941,5,0)</f>
        <v>22.883478489208635</v>
      </c>
      <c r="H247" s="45">
        <f t="shared" si="3"/>
        <v>-1.8834784892086347</v>
      </c>
      <c r="I247" s="44">
        <v>21</v>
      </c>
      <c r="J24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0.17506633238095234</v>
      </c>
      <c r="K247" s="46">
        <f>Tabela25[[#This Row],[PREÇO PRATICADO]]*Tabela25[[#This Row],[LUCRO REAL %]]</f>
        <v>3.6763929799999993</v>
      </c>
      <c r="L247" s="24"/>
      <c r="M247" s="54">
        <f>IF(Tabela25[[#This Row],[QUANT. VENDA]]=0,0,((Tabela25[[#This Row],[CUSTO]]*Tabela25[[#This Row],[QUANT. VENDA]])/(Tabela25[[#This Row],[QUANT. VENDA]]*Tabela25[[#This Row],[PREÇO PRATICADO]])))</f>
        <v>0</v>
      </c>
      <c r="N247" s="48">
        <f>VLOOKUP(Tabela25[[#This Row],[CÓDIGO]],'[1]Estrutura Loja'!$B$3:$E$1825,4,0)</f>
        <v>6.361607020000001</v>
      </c>
      <c r="O247" s="48">
        <f>Tabela25[[#This Row],[QUANT. VENDA]]*Tabela25[[#This Row],[PREÇO PRATICADO]]</f>
        <v>0</v>
      </c>
      <c r="P247" s="48">
        <f>Tabela25[[#This Row],[QUANT. VENDA]]*Tabela25[[#This Row],[CUSTO]]</f>
        <v>0</v>
      </c>
      <c r="Q247" s="49">
        <f>Tabela25[[#This Row],[CUSTO]]/Tabela25[[#This Row],[PREÇO PRATICADO]]</f>
        <v>0.30293366761904766</v>
      </c>
      <c r="S247" s="32"/>
      <c r="T247" s="40"/>
      <c r="V247" s="32"/>
    </row>
    <row r="248" spans="1:22" s="86" customFormat="1" x14ac:dyDescent="0.3">
      <c r="A248" s="85">
        <v>100500052</v>
      </c>
      <c r="B248" s="28">
        <v>1025</v>
      </c>
      <c r="C248" s="28" t="str">
        <f>VLOOKUP(Tabela25[[#This Row],[GRUPO]],[1]Produto!H1:I429,2,0)</f>
        <v>MS Fabulosos 500ml</v>
      </c>
      <c r="D248" s="51" t="s">
        <v>273</v>
      </c>
      <c r="E248" s="44">
        <v>21</v>
      </c>
      <c r="F248" s="44">
        <v>23</v>
      </c>
      <c r="G248" s="21">
        <f>VLOOKUP(Tabela25[[#This Row],[CÓDIGO]],'[1]Estrutura Loja'!$B$3:$M$2941,5,0)</f>
        <v>19.64266253437756</v>
      </c>
      <c r="H248" s="37">
        <f t="shared" si="3"/>
        <v>1.3573374656224395</v>
      </c>
      <c r="I248" s="44">
        <v>21</v>
      </c>
      <c r="J248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0.21796856264014466</v>
      </c>
      <c r="K248" s="53">
        <f>Tabela25[[#This Row],[PREÇO PRATICADO]]*Tabela25[[#This Row],[LUCRO REAL %]]</f>
        <v>4.5773398154430378</v>
      </c>
      <c r="L248" s="24"/>
      <c r="M248" s="54">
        <f>IF(Tabela25[[#This Row],[QUANT. VENDA]]=0,0,((Tabela25[[#This Row],[CUSTO]]*Tabela25[[#This Row],[QUANT. VENDA]])/(Tabela25[[#This Row],[QUANT. VENDA]]*Tabela25[[#This Row],[PREÇO PRATICADO]])))</f>
        <v>0</v>
      </c>
      <c r="N248" s="39">
        <f>VLOOKUP(Tabela25[[#This Row],[CÓDIGO]],'[1]Estrutura Loja'!$B$3:$E$1825,4,0)</f>
        <v>5.4606601845569624</v>
      </c>
      <c r="O248" s="39">
        <f>Tabela25[[#This Row],[QUANT. VENDA]]*Tabela25[[#This Row],[PREÇO PRATICADO]]</f>
        <v>0</v>
      </c>
      <c r="P248" s="39">
        <f>Tabela25[[#This Row],[QUANT. VENDA]]*Tabela25[[#This Row],[CUSTO]]</f>
        <v>0</v>
      </c>
      <c r="Q248" s="55">
        <f>Tabela25[[#This Row],[CUSTO]]/Tabela25[[#This Row],[PREÇO PRATICADO]]</f>
        <v>0.26003143735985534</v>
      </c>
      <c r="R248" s="88"/>
      <c r="S248" s="92"/>
      <c r="T248" s="88"/>
    </row>
    <row r="249" spans="1:22" x14ac:dyDescent="0.3">
      <c r="A249" s="42">
        <v>100500054</v>
      </c>
      <c r="B249" s="28">
        <v>1025</v>
      </c>
      <c r="C249" s="28" t="str">
        <f>VLOOKUP(Tabela25[[#This Row],[GRUPO]],[1]Produto!H10:I429,2,0)</f>
        <v>MS Fabulosos 500ml</v>
      </c>
      <c r="D249" s="43" t="s">
        <v>274</v>
      </c>
      <c r="E249" s="44">
        <v>21</v>
      </c>
      <c r="F249" s="44">
        <v>23</v>
      </c>
      <c r="G249" s="21">
        <f>VLOOKUP(Tabela25[[#This Row],[CÓDIGO]],'[1]Estrutura Loja'!$B$3:$M$2941,5,0)</f>
        <v>23.000839421891058</v>
      </c>
      <c r="H249" s="37">
        <f t="shared" si="3"/>
        <v>-2.0008394218910581</v>
      </c>
      <c r="I249" s="44">
        <v>21</v>
      </c>
      <c r="J249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0.17351269717687073</v>
      </c>
      <c r="K249" s="53">
        <f>Tabela25[[#This Row],[PREÇO PRATICADO]]*Tabela25[[#This Row],[LUCRO REAL %]]</f>
        <v>3.6437666407142855</v>
      </c>
      <c r="L249" s="24"/>
      <c r="M249" s="54">
        <f>IF(Tabela25[[#This Row],[QUANT. VENDA]]=0,0,((Tabela25[[#This Row],[CUSTO]]*Tabela25[[#This Row],[QUANT. VENDA]])/(Tabela25[[#This Row],[QUANT. VENDA]]*Tabela25[[#This Row],[PREÇO PRATICADO]])))</f>
        <v>0</v>
      </c>
      <c r="N249" s="39">
        <f>VLOOKUP(Tabela25[[#This Row],[CÓDIGO]],'[1]Estrutura Loja'!$B$3:$E$1825,4,0)</f>
        <v>6.3942333592857148</v>
      </c>
      <c r="O249" s="39">
        <f>Tabela25[[#This Row],[QUANT. VENDA]]*Tabela25[[#This Row],[PREÇO PRATICADO]]</f>
        <v>0</v>
      </c>
      <c r="P249" s="39">
        <f>Tabela25[[#This Row],[QUANT. VENDA]]*Tabela25[[#This Row],[CUSTO]]</f>
        <v>0</v>
      </c>
      <c r="Q249" s="55">
        <f>Tabela25[[#This Row],[CUSTO]]/Tabela25[[#This Row],[PREÇO PRATICADO]]</f>
        <v>0.3044873028231293</v>
      </c>
      <c r="R249" s="40"/>
      <c r="S249" s="32"/>
      <c r="T249" s="40"/>
    </row>
    <row r="250" spans="1:22" s="86" customFormat="1" x14ac:dyDescent="0.3">
      <c r="A250" s="42">
        <v>100500057</v>
      </c>
      <c r="B250" s="28">
        <v>1025</v>
      </c>
      <c r="C250" s="28" t="str">
        <f>VLOOKUP(Tabela25[[#This Row],[GRUPO]],[1]Produto!H12:I431,2,0)</f>
        <v>MS Fabulosos 500ml</v>
      </c>
      <c r="D250" s="51" t="s">
        <v>275</v>
      </c>
      <c r="E250" s="36">
        <v>30</v>
      </c>
      <c r="F250" s="36">
        <v>32</v>
      </c>
      <c r="G250" s="37">
        <f>VLOOKUP(Tabela25[[#This Row],[CÓDIGO]],'[1]Estrutura Loja'!$B$3:$M$2941,5,0)</f>
        <v>30.952788184309689</v>
      </c>
      <c r="H250" s="37">
        <f t="shared" si="3"/>
        <v>-0.95278818430968926</v>
      </c>
      <c r="I250" s="36">
        <v>30</v>
      </c>
      <c r="J250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0.19117082949206352</v>
      </c>
      <c r="K250" s="53">
        <f>Tabela25[[#This Row],[PREÇO PRATICADO]]*Tabela25[[#This Row],[LUCRO REAL %]]</f>
        <v>5.7351248847619054</v>
      </c>
      <c r="L250" s="38"/>
      <c r="M250" s="67">
        <f>IF(Tabela25[[#This Row],[QUANT. VENDA]]=0,0,((Tabela25[[#This Row],[CUSTO]]*Tabela25[[#This Row],[QUANT. VENDA]])/(Tabela25[[#This Row],[QUANT. VENDA]]*Tabela25[[#This Row],[PREÇO PRATICADO]])))</f>
        <v>0</v>
      </c>
      <c r="N250" s="39">
        <f>VLOOKUP(Tabela25[[#This Row],[CÓDIGO]],'[1]Estrutura Loja'!$B$3:$E$1825,4,0)</f>
        <v>8.6048751152380945</v>
      </c>
      <c r="O250" s="39">
        <f>Tabela25[[#This Row],[QUANT. VENDA]]*Tabela25[[#This Row],[PREÇO PRATICADO]]</f>
        <v>0</v>
      </c>
      <c r="P250" s="39">
        <f>Tabela25[[#This Row],[QUANT. VENDA]]*Tabela25[[#This Row],[CUSTO]]</f>
        <v>0</v>
      </c>
      <c r="Q250" s="55">
        <f>Tabela25[[#This Row],[CUSTO]]/Tabela25[[#This Row],[PREÇO PRATICADO]]</f>
        <v>0.28682917050793649</v>
      </c>
      <c r="R250" s="88"/>
      <c r="S250" s="92"/>
      <c r="T250" s="88"/>
    </row>
    <row r="251" spans="1:22" s="86" customFormat="1" x14ac:dyDescent="0.3">
      <c r="A251" s="42">
        <v>100500030</v>
      </c>
      <c r="B251" s="28">
        <v>1025</v>
      </c>
      <c r="C251" s="28" t="str">
        <f>VLOOKUP(Tabela25[[#This Row],[GRUPO]],[1]Produto!H4:I425,2,0)</f>
        <v>MS Fabulosos 500ml</v>
      </c>
      <c r="D251" s="43" t="s">
        <v>276</v>
      </c>
      <c r="E251" s="44">
        <v>21</v>
      </c>
      <c r="F251" s="44">
        <v>23</v>
      </c>
      <c r="G251" s="21">
        <f>VLOOKUP(Tabela25[[#This Row],[CÓDIGO]],'[1]Estrutura Loja'!$B$3:$M$2941,5,0)</f>
        <v>19.564293836930457</v>
      </c>
      <c r="H251" s="45">
        <f t="shared" si="3"/>
        <v>1.4357061630695434</v>
      </c>
      <c r="I251" s="44">
        <v>21</v>
      </c>
      <c r="J25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0.2190060149206349</v>
      </c>
      <c r="K251" s="46">
        <f>Tabela25[[#This Row],[PREÇO PRATICADO]]*Tabela25[[#This Row],[LUCRO REAL %]]</f>
        <v>4.5991263133333327</v>
      </c>
      <c r="L251" s="24"/>
      <c r="M251" s="54">
        <f>IF(Tabela25[[#This Row],[QUANT. VENDA]]=0,0,((Tabela25[[#This Row],[CUSTO]]*Tabela25[[#This Row],[QUANT. VENDA]])/(Tabela25[[#This Row],[QUANT. VENDA]]*Tabela25[[#This Row],[PREÇO PRATICADO]])))</f>
        <v>0</v>
      </c>
      <c r="N251" s="48">
        <f>VLOOKUP(Tabela25[[#This Row],[CÓDIGO]],'[1]Estrutura Loja'!$B$3:$E$1825,4,0)</f>
        <v>5.4388736866666676</v>
      </c>
      <c r="O251" s="48">
        <f>Tabela25[[#This Row],[QUANT. VENDA]]*Tabela25[[#This Row],[PREÇO PRATICADO]]</f>
        <v>0</v>
      </c>
      <c r="P251" s="48">
        <f>Tabela25[[#This Row],[QUANT. VENDA]]*Tabela25[[#This Row],[CUSTO]]</f>
        <v>0</v>
      </c>
      <c r="Q251" s="49">
        <f>Tabela25[[#This Row],[CUSTO]]/Tabela25[[#This Row],[PREÇO PRATICADO]]</f>
        <v>0.25899398507936511</v>
      </c>
      <c r="R251" s="88"/>
      <c r="S251" s="92"/>
      <c r="T251" s="88"/>
    </row>
    <row r="252" spans="1:22" s="86" customFormat="1" x14ac:dyDescent="0.3">
      <c r="A252" s="42">
        <v>100500037</v>
      </c>
      <c r="B252" s="28">
        <v>1025</v>
      </c>
      <c r="C252" s="28" t="str">
        <f>VLOOKUP(Tabela25[[#This Row],[GRUPO]],[1]Produto!H6:I427,2,0)</f>
        <v>MS Fabulosos 500ml</v>
      </c>
      <c r="D252" s="43" t="s">
        <v>277</v>
      </c>
      <c r="E252" s="44">
        <v>21</v>
      </c>
      <c r="F252" s="44">
        <v>23</v>
      </c>
      <c r="G252" s="21">
        <f>VLOOKUP(Tabela25[[#This Row],[CÓDIGO]],'[1]Estrutura Loja'!$B$3:$M$2941,5,0)</f>
        <v>28.799888561151079</v>
      </c>
      <c r="H252" s="45">
        <f t="shared" si="3"/>
        <v>-7.7998885611510786</v>
      </c>
      <c r="I252" s="44">
        <v>21</v>
      </c>
      <c r="J25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9.6744332380952341E-2</v>
      </c>
      <c r="K252" s="46">
        <f>Tabela25[[#This Row],[PREÇO PRATICADO]]*Tabela25[[#This Row],[LUCRO REAL %]]</f>
        <v>2.0316309799999992</v>
      </c>
      <c r="L252" s="24"/>
      <c r="M252" s="54">
        <f>IF(Tabela25[[#This Row],[QUANT. VENDA]]=0,0,((Tabela25[[#This Row],[CUSTO]]*Tabela25[[#This Row],[QUANT. VENDA]])/(Tabela25[[#This Row],[QUANT. VENDA]]*Tabela25[[#This Row],[PREÇO PRATICADO]])))</f>
        <v>0</v>
      </c>
      <c r="N252" s="48">
        <f>VLOOKUP(Tabela25[[#This Row],[CÓDIGO]],'[1]Estrutura Loja'!$B$3:$E$1825,4,0)</f>
        <v>8.0063690200000011</v>
      </c>
      <c r="O252" s="48">
        <f>Tabela25[[#This Row],[QUANT. VENDA]]*Tabela25[[#This Row],[PREÇO PRATICADO]]</f>
        <v>0</v>
      </c>
      <c r="P252" s="48">
        <f>Tabela25[[#This Row],[QUANT. VENDA]]*Tabela25[[#This Row],[CUSTO]]</f>
        <v>0</v>
      </c>
      <c r="Q252" s="49">
        <f>Tabela25[[#This Row],[CUSTO]]/Tabela25[[#This Row],[PREÇO PRATICADO]]</f>
        <v>0.38125566761904767</v>
      </c>
      <c r="R252" s="88"/>
      <c r="S252" s="92"/>
      <c r="T252" s="88"/>
    </row>
    <row r="253" spans="1:22" s="86" customFormat="1" x14ac:dyDescent="0.3">
      <c r="A253" s="42">
        <v>100500056</v>
      </c>
      <c r="B253" s="28">
        <v>1025</v>
      </c>
      <c r="C253" s="28" t="str">
        <f>VLOOKUP(Tabela25[[#This Row],[GRUPO]],[1]Produto!H11:I430,2,0)</f>
        <v>MS Fabulosos 500ml</v>
      </c>
      <c r="D253" s="51" t="s">
        <v>278</v>
      </c>
      <c r="E253" s="36">
        <v>30</v>
      </c>
      <c r="F253" s="36">
        <v>32</v>
      </c>
      <c r="G253" s="37">
        <f>VLOOKUP(Tabela25[[#This Row],[CÓDIGO]],'[1]Estrutura Loja'!$B$3:$M$2941,5,0)</f>
        <v>23.971299660842757</v>
      </c>
      <c r="H253" s="37">
        <f t="shared" si="3"/>
        <v>6.0287003391572433</v>
      </c>
      <c r="I253" s="36">
        <v>30</v>
      </c>
      <c r="J253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0.25586595647619043</v>
      </c>
      <c r="K253" s="53">
        <f>Tabela25[[#This Row],[PREÇO PRATICADO]]*Tabela25[[#This Row],[LUCRO REAL %]]</f>
        <v>7.6759786942857131</v>
      </c>
      <c r="L253" s="38"/>
      <c r="M253" s="67">
        <f>IF(Tabela25[[#This Row],[QUANT. VENDA]]=0,0,((Tabela25[[#This Row],[CUSTO]]*Tabela25[[#This Row],[QUANT. VENDA]])/(Tabela25[[#This Row],[QUANT. VENDA]]*Tabela25[[#This Row],[PREÇO PRATICADO]])))</f>
        <v>0</v>
      </c>
      <c r="N253" s="39">
        <f>VLOOKUP(Tabela25[[#This Row],[CÓDIGO]],'[1]Estrutura Loja'!$B$3:$E$1825,4,0)</f>
        <v>6.6640213057142867</v>
      </c>
      <c r="O253" s="39">
        <f>Tabela25[[#This Row],[QUANT. VENDA]]*Tabela25[[#This Row],[PREÇO PRATICADO]]</f>
        <v>0</v>
      </c>
      <c r="P253" s="39">
        <f>Tabela25[[#This Row],[QUANT. VENDA]]*Tabela25[[#This Row],[CUSTO]]</f>
        <v>0</v>
      </c>
      <c r="Q253" s="55">
        <f>Tabela25[[#This Row],[CUSTO]]/Tabela25[[#This Row],[PREÇO PRATICADO]]</f>
        <v>0.22213404352380955</v>
      </c>
      <c r="R253" s="88"/>
      <c r="S253" s="92"/>
      <c r="T253" s="88"/>
    </row>
    <row r="254" spans="1:22" s="86" customFormat="1" x14ac:dyDescent="0.3">
      <c r="A254" s="42">
        <v>100500061</v>
      </c>
      <c r="B254" s="28">
        <v>1025</v>
      </c>
      <c r="C254" s="28" t="str">
        <f>VLOOKUP(Tabela25[[#This Row],[GRUPO]],[1]Produto!H16:I435,2,0)</f>
        <v>MS Fabulosos 500ml</v>
      </c>
      <c r="D254" s="51" t="s">
        <v>279</v>
      </c>
      <c r="E254" s="36">
        <v>38</v>
      </c>
      <c r="F254" s="36">
        <v>40</v>
      </c>
      <c r="G254" s="37">
        <f>VLOOKUP(Tabela25[[#This Row],[CÓDIGO]],'[1]Estrutura Loja'!$B$3:$M$2941,5,0)</f>
        <v>38.536787841726621</v>
      </c>
      <c r="H254" s="37">
        <f t="shared" si="3"/>
        <v>-0.5367878417266212</v>
      </c>
      <c r="I254" s="36">
        <v>38</v>
      </c>
      <c r="J254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0.19607297315789465</v>
      </c>
      <c r="K254" s="53">
        <f>Tabela25[[#This Row],[PREÇO PRATICADO]]*Tabela25[[#This Row],[LUCRO REAL %]]</f>
        <v>7.4507729799999964</v>
      </c>
      <c r="L254" s="38"/>
      <c r="M254" s="67">
        <f>IF(Tabela25[[#This Row],[QUANT. VENDA]]=0,0,((Tabela25[[#This Row],[CUSTO]]*Tabela25[[#This Row],[QUANT. VENDA]])/(Tabela25[[#This Row],[QUANT. VENDA]]*Tabela25[[#This Row],[PREÇO PRATICADO]])))</f>
        <v>0</v>
      </c>
      <c r="N254" s="39">
        <f>VLOOKUP(Tabela25[[#This Row],[CÓDIGO]],'[1]Estrutura Loja'!$B$3:$E$1825,4,0)</f>
        <v>10.713227020000001</v>
      </c>
      <c r="O254" s="39">
        <f>Tabela25[[#This Row],[QUANT. VENDA]]*Tabela25[[#This Row],[PREÇO PRATICADO]]</f>
        <v>0</v>
      </c>
      <c r="P254" s="39">
        <f>Tabela25[[#This Row],[QUANT. VENDA]]*Tabela25[[#This Row],[CUSTO]]</f>
        <v>0</v>
      </c>
      <c r="Q254" s="55">
        <f>Tabela25[[#This Row],[CUSTO]]/Tabela25[[#This Row],[PREÇO PRATICADO]]</f>
        <v>0.2819270268421053</v>
      </c>
      <c r="R254" s="88"/>
      <c r="S254" s="92"/>
      <c r="T254" s="88"/>
    </row>
    <row r="255" spans="1:22" s="86" customFormat="1" x14ac:dyDescent="0.3">
      <c r="A255" s="42">
        <v>100300003</v>
      </c>
      <c r="B255" s="28">
        <v>1003</v>
      </c>
      <c r="C255" s="28" t="str">
        <f>VLOOKUP(Tabela25[[#This Row],[GRUPO]],[1]Produto!H49:I384,2,0)</f>
        <v>MS Trad. 300ml</v>
      </c>
      <c r="D255" s="43" t="s">
        <v>280</v>
      </c>
      <c r="E255" s="44">
        <v>13</v>
      </c>
      <c r="F255" s="44">
        <v>14</v>
      </c>
      <c r="G255" s="21">
        <f>VLOOKUP(Tabela25[[#This Row],[CÓDIGO]],'[1]Estrutura Loja'!$B$3:$M$2941,5,0)</f>
        <v>9.7408619424460419</v>
      </c>
      <c r="H255" s="45">
        <f t="shared" si="3"/>
        <v>3.2591380575539581</v>
      </c>
      <c r="I255" s="36">
        <v>13</v>
      </c>
      <c r="J25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0.26969541384615381</v>
      </c>
      <c r="K255" s="46">
        <f>Tabela25[[#This Row],[PREÇO PRATICADO]]*Tabela25[[#This Row],[LUCRO REAL %]]</f>
        <v>3.5060403799999995</v>
      </c>
      <c r="L255" s="24"/>
      <c r="M255" s="54">
        <f>IF(Tabela25[[#This Row],[QUANT. VENDA]]=0,0,((Tabela25[[#This Row],[CUSTO]]*Tabela25[[#This Row],[QUANT. VENDA]])/(Tabela25[[#This Row],[QUANT. VENDA]]*Tabela25[[#This Row],[PREÇO PRATICADO]])))</f>
        <v>0</v>
      </c>
      <c r="N255" s="48">
        <f>VLOOKUP(Tabela25[[#This Row],[CÓDIGO]],'[1]Estrutura Loja'!$B$3:$E$1825,4,0)</f>
        <v>2.70795962</v>
      </c>
      <c r="O255" s="48">
        <f>Tabela25[[#This Row],[QUANT. VENDA]]*Tabela25[[#This Row],[PREÇO PRATICADO]]</f>
        <v>0</v>
      </c>
      <c r="P255" s="48">
        <f>Tabela25[[#This Row],[QUANT. VENDA]]*Tabela25[[#This Row],[CUSTO]]</f>
        <v>0</v>
      </c>
      <c r="Q255" s="49">
        <f>Tabela25[[#This Row],[CUSTO]]/Tabela25[[#This Row],[PREÇO PRATICADO]]</f>
        <v>0.20830458615384614</v>
      </c>
      <c r="R255" s="88"/>
      <c r="S255" s="92"/>
      <c r="T255" s="88"/>
    </row>
    <row r="256" spans="1:22" s="86" customFormat="1" x14ac:dyDescent="0.3">
      <c r="A256" s="42">
        <v>100300005</v>
      </c>
      <c r="B256" s="28">
        <v>1003</v>
      </c>
      <c r="C256" s="28" t="str">
        <f>VLOOKUP(Tabela25[[#This Row],[GRUPO]],[1]Produto!H50:I385,2,0)</f>
        <v>MS Trad. 300ml</v>
      </c>
      <c r="D256" s="43" t="s">
        <v>281</v>
      </c>
      <c r="E256" s="44">
        <v>13</v>
      </c>
      <c r="F256" s="44">
        <v>14</v>
      </c>
      <c r="G256" s="21">
        <f>VLOOKUP(Tabela25[[#This Row],[CÓDIGO]],'[1]Estrutura Loja'!$B$3:$M$2941,5,0)</f>
        <v>11.268748544055843</v>
      </c>
      <c r="H256" s="45">
        <f t="shared" si="3"/>
        <v>1.7312514559441574</v>
      </c>
      <c r="I256" s="36">
        <v>13</v>
      </c>
      <c r="J25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0.23702214651942113</v>
      </c>
      <c r="K256" s="46">
        <f>Tabela25[[#This Row],[PREÇO PRATICADO]]*Tabela25[[#This Row],[LUCRO REAL %]]</f>
        <v>3.0812879047524748</v>
      </c>
      <c r="L256" s="24"/>
      <c r="M256" s="54">
        <f>IF(Tabela25[[#This Row],[QUANT. VENDA]]=0,0,((Tabela25[[#This Row],[CUSTO]]*Tabela25[[#This Row],[QUANT. VENDA]])/(Tabela25[[#This Row],[QUANT. VENDA]]*Tabela25[[#This Row],[PREÇO PRATICADO]])))</f>
        <v>0</v>
      </c>
      <c r="N256" s="48">
        <f>VLOOKUP(Tabela25[[#This Row],[CÓDIGO]],'[1]Estrutura Loja'!$B$3:$E$1825,4,0)</f>
        <v>3.1327120952475247</v>
      </c>
      <c r="O256" s="48">
        <f>Tabela25[[#This Row],[QUANT. VENDA]]*Tabela25[[#This Row],[PREÇO PRATICADO]]</f>
        <v>0</v>
      </c>
      <c r="P256" s="48">
        <f>Tabela25[[#This Row],[QUANT. VENDA]]*Tabela25[[#This Row],[CUSTO]]</f>
        <v>0</v>
      </c>
      <c r="Q256" s="49">
        <f>Tabela25[[#This Row],[CUSTO]]/Tabela25[[#This Row],[PREÇO PRATICADO]]</f>
        <v>0.24097785348057882</v>
      </c>
      <c r="R256" s="88"/>
      <c r="S256" s="92"/>
      <c r="T256" s="88"/>
    </row>
    <row r="257" spans="1:20" s="86" customFormat="1" x14ac:dyDescent="0.3">
      <c r="A257" s="42">
        <v>100300006</v>
      </c>
      <c r="B257" s="28">
        <v>1003</v>
      </c>
      <c r="C257" s="28" t="str">
        <f>VLOOKUP(Tabela25[[#This Row],[GRUPO]],[1]Produto!H51:I386,2,0)</f>
        <v>MS Trad. 300ml</v>
      </c>
      <c r="D257" s="43" t="s">
        <v>282</v>
      </c>
      <c r="E257" s="44">
        <v>13</v>
      </c>
      <c r="F257" s="44">
        <v>14</v>
      </c>
      <c r="G257" s="21">
        <f>VLOOKUP(Tabela25[[#This Row],[CÓDIGO]],'[1]Estrutura Loja'!$B$3:$M$2941,5,0)</f>
        <v>12.84519647482014</v>
      </c>
      <c r="H257" s="45">
        <f t="shared" si="3"/>
        <v>0.15480352517985985</v>
      </c>
      <c r="I257" s="36">
        <v>13</v>
      </c>
      <c r="J25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0.20331041384615386</v>
      </c>
      <c r="K257" s="46">
        <f>Tabela25[[#This Row],[PREÇO PRATICADO]]*Tabela25[[#This Row],[LUCRO REAL %]]</f>
        <v>2.6430353800000002</v>
      </c>
      <c r="L257" s="24"/>
      <c r="M257" s="54">
        <f>IF(Tabela25[[#This Row],[QUANT. VENDA]]=0,0,((Tabela25[[#This Row],[CUSTO]]*Tabela25[[#This Row],[QUANT. VENDA]])/(Tabela25[[#This Row],[QUANT. VENDA]]*Tabela25[[#This Row],[PREÇO PRATICADO]])))</f>
        <v>0</v>
      </c>
      <c r="N257" s="48">
        <f>VLOOKUP(Tabela25[[#This Row],[CÓDIGO]],'[1]Estrutura Loja'!$B$3:$E$1825,4,0)</f>
        <v>3.5709646199999994</v>
      </c>
      <c r="O257" s="48">
        <f>Tabela25[[#This Row],[QUANT. VENDA]]*Tabela25[[#This Row],[PREÇO PRATICADO]]</f>
        <v>0</v>
      </c>
      <c r="P257" s="48">
        <f>Tabela25[[#This Row],[QUANT. VENDA]]*Tabela25[[#This Row],[CUSTO]]</f>
        <v>0</v>
      </c>
      <c r="Q257" s="49">
        <f>Tabela25[[#This Row],[CUSTO]]/Tabela25[[#This Row],[PREÇO PRATICADO]]</f>
        <v>0.27468958615384609</v>
      </c>
      <c r="R257" s="88"/>
      <c r="S257" s="92"/>
      <c r="T257" s="88"/>
    </row>
    <row r="258" spans="1:20" x14ac:dyDescent="0.3">
      <c r="A258" s="42">
        <v>100300011</v>
      </c>
      <c r="B258" s="28">
        <v>1003</v>
      </c>
      <c r="C258" s="28" t="str">
        <f>VLOOKUP(Tabela25[[#This Row],[GRUPO]],[1]Produto!H52:I387,2,0)</f>
        <v>MS Trad. 300ml</v>
      </c>
      <c r="D258" s="43" t="s">
        <v>283</v>
      </c>
      <c r="E258" s="44">
        <v>13</v>
      </c>
      <c r="F258" s="44">
        <v>14</v>
      </c>
      <c r="G258" s="21">
        <f>VLOOKUP(Tabela25[[#This Row],[CÓDIGO]],'[1]Estrutura Loja'!$B$3:$M$2941,5,0)</f>
        <v>9.7408619424460419</v>
      </c>
      <c r="H258" s="45">
        <f t="shared" si="3"/>
        <v>3.2591380575539581</v>
      </c>
      <c r="I258" s="36">
        <v>13</v>
      </c>
      <c r="J25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0.26969541384615381</v>
      </c>
      <c r="K258" s="46">
        <f>Tabela25[[#This Row],[PREÇO PRATICADO]]*Tabela25[[#This Row],[LUCRO REAL %]]</f>
        <v>3.5060403799999995</v>
      </c>
      <c r="L258" s="24"/>
      <c r="M258" s="54">
        <f>IF(Tabela25[[#This Row],[QUANT. VENDA]]=0,0,((Tabela25[[#This Row],[CUSTO]]*Tabela25[[#This Row],[QUANT. VENDA]])/(Tabela25[[#This Row],[QUANT. VENDA]]*Tabela25[[#This Row],[PREÇO PRATICADO]])))</f>
        <v>0</v>
      </c>
      <c r="N258" s="48">
        <f>VLOOKUP(Tabela25[[#This Row],[CÓDIGO]],'[1]Estrutura Loja'!$B$3:$E$1825,4,0)</f>
        <v>2.70795962</v>
      </c>
      <c r="O258" s="48">
        <f>Tabela25[[#This Row],[QUANT. VENDA]]*Tabela25[[#This Row],[PREÇO PRATICADO]]</f>
        <v>0</v>
      </c>
      <c r="P258" s="48">
        <f>Tabela25[[#This Row],[QUANT. VENDA]]*Tabela25[[#This Row],[CUSTO]]</f>
        <v>0</v>
      </c>
      <c r="Q258" s="49">
        <f>Tabela25[[#This Row],[CUSTO]]/Tabela25[[#This Row],[PREÇO PRATICADO]]</f>
        <v>0.20830458615384614</v>
      </c>
      <c r="R258" s="40"/>
      <c r="S258" s="32"/>
      <c r="T258" s="40"/>
    </row>
    <row r="259" spans="1:20" x14ac:dyDescent="0.3">
      <c r="A259" s="42">
        <v>100300027</v>
      </c>
      <c r="B259" s="28">
        <v>1003</v>
      </c>
      <c r="C259" s="28" t="str">
        <f>VLOOKUP(Tabela25[[#This Row],[GRUPO]],[1]Produto!H55:I389,2,0)</f>
        <v>MS Trad. 300ml</v>
      </c>
      <c r="D259" s="43" t="s">
        <v>284</v>
      </c>
      <c r="E259" s="44">
        <v>13</v>
      </c>
      <c r="F259" s="44">
        <v>14</v>
      </c>
      <c r="G259" s="21">
        <f>VLOOKUP(Tabela25[[#This Row],[CÓDIGO]],'[1]Estrutura Loja'!$B$3:$M$2941,5,0)</f>
        <v>12.41100582733813</v>
      </c>
      <c r="H259" s="45">
        <f t="shared" si="3"/>
        <v>0.58899417266187015</v>
      </c>
      <c r="I259" s="36">
        <v>13</v>
      </c>
      <c r="J25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0.2125954138461538</v>
      </c>
      <c r="K259" s="46">
        <f>Tabela25[[#This Row],[PREÇO PRATICADO]]*Tabela25[[#This Row],[LUCRO REAL %]]</f>
        <v>2.7637403799999993</v>
      </c>
      <c r="L259" s="24"/>
      <c r="M259" s="54">
        <f>IF(Tabela25[[#This Row],[QUANT. VENDA]]=0,0,((Tabela25[[#This Row],[CUSTO]]*Tabela25[[#This Row],[QUANT. VENDA]])/(Tabela25[[#This Row],[QUANT. VENDA]]*Tabela25[[#This Row],[PREÇO PRATICADO]])))</f>
        <v>0</v>
      </c>
      <c r="N259" s="48">
        <f>VLOOKUP(Tabela25[[#This Row],[CÓDIGO]],'[1]Estrutura Loja'!$B$3:$E$1825,4,0)</f>
        <v>3.4502596200000002</v>
      </c>
      <c r="O259" s="48">
        <f>Tabela25[[#This Row],[QUANT. VENDA]]*Tabela25[[#This Row],[PREÇO PRATICADO]]</f>
        <v>0</v>
      </c>
      <c r="P259" s="48">
        <f>Tabela25[[#This Row],[QUANT. VENDA]]*Tabela25[[#This Row],[CUSTO]]</f>
        <v>0</v>
      </c>
      <c r="Q259" s="49">
        <f>Tabela25[[#This Row],[CUSTO]]/Tabela25[[#This Row],[PREÇO PRATICADO]]</f>
        <v>0.26540458615384616</v>
      </c>
      <c r="R259" s="40"/>
      <c r="S259" s="32"/>
      <c r="T259" s="40"/>
    </row>
    <row r="260" spans="1:20" x14ac:dyDescent="0.3">
      <c r="A260" s="42">
        <v>100300012</v>
      </c>
      <c r="B260" s="28">
        <v>1003</v>
      </c>
      <c r="C260" s="28" t="str">
        <f>VLOOKUP(Tabela25[[#This Row],[GRUPO]],[1]Produto!H53:I388,2,0)</f>
        <v>MS Trad. 300ml</v>
      </c>
      <c r="D260" s="43" t="s">
        <v>285</v>
      </c>
      <c r="E260" s="44">
        <v>13</v>
      </c>
      <c r="F260" s="44">
        <v>14</v>
      </c>
      <c r="G260" s="21">
        <f>VLOOKUP(Tabela25[[#This Row],[CÓDIGO]],'[1]Estrutura Loja'!$B$3:$M$2941,5,0)</f>
        <v>13.41897345323741</v>
      </c>
      <c r="H260" s="45">
        <f t="shared" si="3"/>
        <v>-0.41897345323740964</v>
      </c>
      <c r="I260" s="36">
        <v>13</v>
      </c>
      <c r="J26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0.19104041384615378</v>
      </c>
      <c r="K260" s="46">
        <f>Tabela25[[#This Row],[PREÇO PRATICADO]]*Tabela25[[#This Row],[LUCRO REAL %]]</f>
        <v>2.4835253799999992</v>
      </c>
      <c r="L260" s="24"/>
      <c r="M260" s="54">
        <f>IF(Tabela25[[#This Row],[QUANT. VENDA]]=0,0,((Tabela25[[#This Row],[CUSTO]]*Tabela25[[#This Row],[QUANT. VENDA]])/(Tabela25[[#This Row],[QUANT. VENDA]]*Tabela25[[#This Row],[PREÇO PRATICADO]])))</f>
        <v>0</v>
      </c>
      <c r="N260" s="48">
        <f>VLOOKUP(Tabela25[[#This Row],[CÓDIGO]],'[1]Estrutura Loja'!$B$3:$E$1825,4,0)</f>
        <v>3.7304746200000003</v>
      </c>
      <c r="O260" s="48">
        <f>Tabela25[[#This Row],[QUANT. VENDA]]*Tabela25[[#This Row],[PREÇO PRATICADO]]</f>
        <v>0</v>
      </c>
      <c r="P260" s="48">
        <f>Tabela25[[#This Row],[QUANT. VENDA]]*Tabela25[[#This Row],[CUSTO]]</f>
        <v>0</v>
      </c>
      <c r="Q260" s="49">
        <f>Tabela25[[#This Row],[CUSTO]]/Tabela25[[#This Row],[PREÇO PRATICADO]]</f>
        <v>0.2869595861538462</v>
      </c>
      <c r="S260" s="32"/>
    </row>
    <row r="261" spans="1:20" x14ac:dyDescent="0.3">
      <c r="A261" s="42">
        <v>100300080</v>
      </c>
      <c r="B261" s="28">
        <v>1003</v>
      </c>
      <c r="C261" s="28" t="str">
        <f>VLOOKUP(Tabela25[[#This Row],[GRUPO]],[1]Produto!H76:I408,2,0)</f>
        <v>MS Trad. 300ml</v>
      </c>
      <c r="D261" s="43" t="s">
        <v>286</v>
      </c>
      <c r="E261" s="44">
        <v>13</v>
      </c>
      <c r="F261" s="44">
        <v>14</v>
      </c>
      <c r="G261" s="45">
        <f>VLOOKUP(Tabela25[[#This Row],[CÓDIGO]],'[1]Estrutura Loja'!$B$3:$M$2941,5,0)</f>
        <v>11.436221654676258</v>
      </c>
      <c r="H261" s="45">
        <f t="shared" ref="H261:H324" si="4">E261-G261</f>
        <v>1.5637783453237422</v>
      </c>
      <c r="I261" s="36">
        <v>13</v>
      </c>
      <c r="J26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0.23344079846153842</v>
      </c>
      <c r="K261" s="23">
        <f>Tabela25[[#This Row],[PREÇO PRATICADO]]*Tabela25[[#This Row],[LUCRO REAL %]]</f>
        <v>3.0347303799999996</v>
      </c>
      <c r="L261" s="57"/>
      <c r="M261" s="54">
        <f>IF(Tabela25[[#This Row],[QUANT. VENDA]]=0,0,((Tabela25[[#This Row],[CUSTO]]*Tabela25[[#This Row],[QUANT. VENDA]])/(Tabela25[[#This Row],[QUANT. VENDA]]*Tabela25[[#This Row],[PREÇO PRATICADO]])))</f>
        <v>0</v>
      </c>
      <c r="N261" s="48">
        <f>VLOOKUP(Tabela25[[#This Row],[CÓDIGO]],'[1]Estrutura Loja'!$B$3:$E$1825,4,0)</f>
        <v>3.1792696199999999</v>
      </c>
      <c r="O261" s="48">
        <f>Tabela25[[#This Row],[QUANT. VENDA]]*Tabela25[[#This Row],[PREÇO PRATICADO]]</f>
        <v>0</v>
      </c>
      <c r="P261" s="48">
        <f>Tabela25[[#This Row],[QUANT. VENDA]]*Tabela25[[#This Row],[CUSTO]]</f>
        <v>0</v>
      </c>
      <c r="Q261" s="56">
        <f>Tabela25[[#This Row],[CUSTO]]/Tabela25[[#This Row],[PREÇO PRATICADO]]</f>
        <v>0.24455920153846153</v>
      </c>
    </row>
    <row r="262" spans="1:20" x14ac:dyDescent="0.3">
      <c r="A262" s="42">
        <v>100300018</v>
      </c>
      <c r="B262" s="28">
        <v>1003</v>
      </c>
      <c r="C262" s="28" t="str">
        <f>VLOOKUP(Tabela25[[#This Row],[GRUPO]],[1]Produto!H54:I388,2,0)</f>
        <v>MS Trad. 300ml</v>
      </c>
      <c r="D262" s="43" t="s">
        <v>287</v>
      </c>
      <c r="E262" s="44">
        <v>13</v>
      </c>
      <c r="F262" s="44">
        <v>14</v>
      </c>
      <c r="G262" s="21">
        <f>VLOOKUP(Tabela25[[#This Row],[CÓDIGO]],'[1]Estrutura Loja'!$B$3:$M$2941,5,0)</f>
        <v>11.959980647482013</v>
      </c>
      <c r="H262" s="45">
        <f t="shared" si="4"/>
        <v>1.0400193525179873</v>
      </c>
      <c r="I262" s="36">
        <v>13</v>
      </c>
      <c r="J26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0.22224041384615384</v>
      </c>
      <c r="K262" s="46">
        <f>Tabela25[[#This Row],[PREÇO PRATICADO]]*Tabela25[[#This Row],[LUCRO REAL %]]</f>
        <v>2.8891253799999999</v>
      </c>
      <c r="L262" s="24"/>
      <c r="M262" s="54">
        <f>IF(Tabela25[[#This Row],[QUANT. VENDA]]=0,0,((Tabela25[[#This Row],[CUSTO]]*Tabela25[[#This Row],[QUANT. VENDA]])/(Tabela25[[#This Row],[QUANT. VENDA]]*Tabela25[[#This Row],[PREÇO PRATICADO]])))</f>
        <v>0</v>
      </c>
      <c r="N262" s="48">
        <f>VLOOKUP(Tabela25[[#This Row],[CÓDIGO]],'[1]Estrutura Loja'!$B$3:$E$1825,4,0)</f>
        <v>3.3248746199999997</v>
      </c>
      <c r="O262" s="48">
        <f>Tabela25[[#This Row],[QUANT. VENDA]]*Tabela25[[#This Row],[PREÇO PRATICADO]]</f>
        <v>0</v>
      </c>
      <c r="P262" s="48">
        <f>Tabela25[[#This Row],[QUANT. VENDA]]*Tabela25[[#This Row],[CUSTO]]</f>
        <v>0</v>
      </c>
      <c r="Q262" s="49">
        <f>Tabela25[[#This Row],[CUSTO]]/Tabela25[[#This Row],[PREÇO PRATICADO]]</f>
        <v>0.25575958615384614</v>
      </c>
    </row>
    <row r="263" spans="1:20" x14ac:dyDescent="0.3">
      <c r="A263" s="42">
        <v>100300031</v>
      </c>
      <c r="B263" s="28">
        <v>1003</v>
      </c>
      <c r="C263" s="28" t="str">
        <f>VLOOKUP(Tabela25[[#This Row],[GRUPO]],[1]Produto!H56:I390,2,0)</f>
        <v>MS Trad. 300ml</v>
      </c>
      <c r="D263" s="43" t="s">
        <v>288</v>
      </c>
      <c r="E263" s="44">
        <v>13</v>
      </c>
      <c r="F263" s="44">
        <v>14</v>
      </c>
      <c r="G263" s="21">
        <f>VLOOKUP(Tabela25[[#This Row],[CÓDIGO]],'[1]Estrutura Loja'!$B$3:$M$2941,5,0)</f>
        <v>11.193842415210689</v>
      </c>
      <c r="H263" s="45">
        <f t="shared" si="4"/>
        <v>1.806157584789311</v>
      </c>
      <c r="I263" s="36">
        <v>13</v>
      </c>
      <c r="J26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0.23862398527472523</v>
      </c>
      <c r="K263" s="46">
        <f>Tabela25[[#This Row],[PREÇO PRATICADO]]*Tabela25[[#This Row],[LUCRO REAL %]]</f>
        <v>3.1021118085714279</v>
      </c>
      <c r="L263" s="24"/>
      <c r="M263" s="54">
        <f>IF(Tabela25[[#This Row],[QUANT. VENDA]]=0,0,((Tabela25[[#This Row],[CUSTO]]*Tabela25[[#This Row],[QUANT. VENDA]])/(Tabela25[[#This Row],[QUANT. VENDA]]*Tabela25[[#This Row],[PREÇO PRATICADO]])))</f>
        <v>0</v>
      </c>
      <c r="N263" s="48">
        <f>VLOOKUP(Tabela25[[#This Row],[CÓDIGO]],'[1]Estrutura Loja'!$B$3:$E$1825,4,0)</f>
        <v>3.1118881914285716</v>
      </c>
      <c r="O263" s="48">
        <f>Tabela25[[#This Row],[QUANT. VENDA]]*Tabela25[[#This Row],[PREÇO PRATICADO]]</f>
        <v>0</v>
      </c>
      <c r="P263" s="48">
        <f>Tabela25[[#This Row],[QUANT. VENDA]]*Tabela25[[#This Row],[CUSTO]]</f>
        <v>0</v>
      </c>
      <c r="Q263" s="49">
        <f>Tabela25[[#This Row],[CUSTO]]/Tabela25[[#This Row],[PREÇO PRATICADO]]</f>
        <v>0.23937601472527475</v>
      </c>
    </row>
    <row r="264" spans="1:20" x14ac:dyDescent="0.3">
      <c r="A264" s="42">
        <v>100300035</v>
      </c>
      <c r="B264" s="28">
        <v>1003</v>
      </c>
      <c r="C264" s="28" t="str">
        <f>VLOOKUP(Tabela25[[#This Row],[GRUPO]],[1]Produto!H65:I397,2,0)</f>
        <v>MS Trad. 300ml</v>
      </c>
      <c r="D264" s="43" t="s">
        <v>289</v>
      </c>
      <c r="E264" s="44">
        <v>13</v>
      </c>
      <c r="F264" s="44">
        <v>14</v>
      </c>
      <c r="G264" s="21">
        <f>VLOOKUP(Tabela25[[#This Row],[CÓDIGO]],'[1]Estrutura Loja'!$B$3:$M$2941,5,0)</f>
        <v>13.215990411099689</v>
      </c>
      <c r="H264" s="45">
        <f t="shared" si="4"/>
        <v>-0.21599041109968908</v>
      </c>
      <c r="I264" s="36">
        <v>13</v>
      </c>
      <c r="J26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0.19538112813186814</v>
      </c>
      <c r="K264" s="46">
        <f>Tabela25[[#This Row],[PREÇO PRATICADO]]*Tabela25[[#This Row],[LUCRO REAL %]]</f>
        <v>2.5399546657142857</v>
      </c>
      <c r="L264" s="24"/>
      <c r="M264" s="54">
        <f>IF(Tabela25[[#This Row],[QUANT. VENDA]]=0,0,((Tabela25[[#This Row],[CUSTO]]*Tabela25[[#This Row],[QUANT. VENDA]])/(Tabela25[[#This Row],[QUANT. VENDA]]*Tabela25[[#This Row],[PREÇO PRATICADO]])))</f>
        <v>0</v>
      </c>
      <c r="N264" s="48">
        <f>VLOOKUP(Tabela25[[#This Row],[CÓDIGO]],'[1]Estrutura Loja'!$B$3:$E$1825,4,0)</f>
        <v>3.6740453342857138</v>
      </c>
      <c r="O264" s="48">
        <f>Tabela25[[#This Row],[QUANT. VENDA]]*Tabela25[[#This Row],[PREÇO PRATICADO]]</f>
        <v>0</v>
      </c>
      <c r="P264" s="48">
        <f>Tabela25[[#This Row],[QUANT. VENDA]]*Tabela25[[#This Row],[CUSTO]]</f>
        <v>0</v>
      </c>
      <c r="Q264" s="49">
        <f>Tabela25[[#This Row],[CUSTO]]/Tabela25[[#This Row],[PREÇO PRATICADO]]</f>
        <v>0.28261887186813184</v>
      </c>
    </row>
    <row r="265" spans="1:20" x14ac:dyDescent="0.3">
      <c r="A265" s="42">
        <v>100300046</v>
      </c>
      <c r="B265" s="28">
        <v>1003</v>
      </c>
      <c r="C265" s="28" t="str">
        <f>VLOOKUP(Tabela25[[#This Row],[GRUPO]],[1]Produto!H58:I392,2,0)</f>
        <v>MS Trad. 300ml</v>
      </c>
      <c r="D265" s="43" t="s">
        <v>290</v>
      </c>
      <c r="E265" s="44">
        <v>13</v>
      </c>
      <c r="F265" s="44">
        <v>14</v>
      </c>
      <c r="G265" s="21">
        <f>VLOOKUP(Tabela25[[#This Row],[CÓDIGO]],'[1]Estrutura Loja'!$B$3:$M$2941,5,0)</f>
        <v>12.094436582733811</v>
      </c>
      <c r="H265" s="45">
        <f t="shared" si="4"/>
        <v>0.90556341726618861</v>
      </c>
      <c r="I265" s="36">
        <v>13</v>
      </c>
      <c r="J26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0.21936512538461536</v>
      </c>
      <c r="K265" s="46">
        <f>Tabela25[[#This Row],[PREÇO PRATICADO]]*Tabela25[[#This Row],[LUCRO REAL %]]</f>
        <v>2.8517466299999996</v>
      </c>
      <c r="L265" s="24"/>
      <c r="M265" s="54">
        <f>IF(Tabela25[[#This Row],[QUANT. VENDA]]=0,0,((Tabela25[[#This Row],[CUSTO]]*Tabela25[[#This Row],[QUANT. VENDA]])/(Tabela25[[#This Row],[QUANT. VENDA]]*Tabela25[[#This Row],[PREÇO PRATICADO]])))</f>
        <v>0</v>
      </c>
      <c r="N265" s="48">
        <f>VLOOKUP(Tabela25[[#This Row],[CÓDIGO]],'[1]Estrutura Loja'!$B$3:$E$1825,4,0)</f>
        <v>3.3622533699999999</v>
      </c>
      <c r="O265" s="48">
        <f>Tabela25[[#This Row],[QUANT. VENDA]]*Tabela25[[#This Row],[PREÇO PRATICADO]]</f>
        <v>0</v>
      </c>
      <c r="P265" s="48">
        <f>Tabela25[[#This Row],[QUANT. VENDA]]*Tabela25[[#This Row],[CUSTO]]</f>
        <v>0</v>
      </c>
      <c r="Q265" s="49">
        <f>Tabela25[[#This Row],[CUSTO]]/Tabela25[[#This Row],[PREÇO PRATICADO]]</f>
        <v>0.25863487461538459</v>
      </c>
    </row>
    <row r="266" spans="1:20" x14ac:dyDescent="0.3">
      <c r="A266" s="42">
        <v>100300087</v>
      </c>
      <c r="B266" s="28">
        <v>1003</v>
      </c>
      <c r="C266" s="28" t="str">
        <f>VLOOKUP(Tabela25[[#This Row],[GRUPO]],[1]Produto!H77:I409,2,0)</f>
        <v>MS Trad. 300ml</v>
      </c>
      <c r="D266" s="51" t="s">
        <v>291</v>
      </c>
      <c r="E266" s="36">
        <v>13</v>
      </c>
      <c r="F266" s="36">
        <v>14</v>
      </c>
      <c r="G266" s="37">
        <f>VLOOKUP(Tabela25[[#This Row],[CÓDIGO]],'[1]Estrutura Loja'!$B$3:$M$2941,5,0)</f>
        <v>12.827192877697842</v>
      </c>
      <c r="H266" s="37">
        <f t="shared" si="4"/>
        <v>0.17280712230215833</v>
      </c>
      <c r="I266" s="36">
        <v>13</v>
      </c>
      <c r="J266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0.20369541384615381</v>
      </c>
      <c r="K266" s="53">
        <f>Tabela25[[#This Row],[PREÇO PRATICADO]]*Tabela25[[#This Row],[LUCRO REAL %]]</f>
        <v>2.6480403799999994</v>
      </c>
      <c r="L266" s="38"/>
      <c r="M266" s="67">
        <f>IF(Tabela25[[#This Row],[QUANT. VENDA]]=0,0,((Tabela25[[#This Row],[CUSTO]]*Tabela25[[#This Row],[QUANT. VENDA]])/(Tabela25[[#This Row],[QUANT. VENDA]]*Tabela25[[#This Row],[PREÇO PRATICADO]])))</f>
        <v>0</v>
      </c>
      <c r="N266" s="48">
        <f>VLOOKUP(Tabela25[[#This Row],[CÓDIGO]],'[1]Estrutura Loja'!$B$3:$E$1825,4,0)</f>
        <v>3.5659596200000001</v>
      </c>
      <c r="O266" s="39">
        <f>Tabela25[[#This Row],[QUANT. VENDA]]*Tabela25[[#This Row],[PREÇO PRATICADO]]</f>
        <v>0</v>
      </c>
      <c r="P266" s="39">
        <f>Tabela25[[#This Row],[QUANT. VENDA]]*Tabela25[[#This Row],[CUSTO]]</f>
        <v>0</v>
      </c>
      <c r="Q266" s="56">
        <f>Tabela25[[#This Row],[CUSTO]]/Tabela25[[#This Row],[PREÇO PRATICADO]]</f>
        <v>0.27430458615384617</v>
      </c>
    </row>
    <row r="267" spans="1:20" x14ac:dyDescent="0.3">
      <c r="A267" s="42">
        <v>100300045</v>
      </c>
      <c r="B267" s="28">
        <v>1003</v>
      </c>
      <c r="C267" s="28" t="str">
        <f>VLOOKUP(Tabela25[[#This Row],[GRUPO]],[1]Produto!H57:I391,2,0)</f>
        <v>MS Trad. 300ml</v>
      </c>
      <c r="D267" s="43" t="s">
        <v>292</v>
      </c>
      <c r="E267" s="44">
        <v>13</v>
      </c>
      <c r="F267" s="44">
        <v>14</v>
      </c>
      <c r="G267" s="21">
        <f>VLOOKUP(Tabela25[[#This Row],[CÓDIGO]],'[1]Estrutura Loja'!$B$3:$M$2941,5,0)</f>
        <v>12.145795138746143</v>
      </c>
      <c r="H267" s="45">
        <f t="shared" si="4"/>
        <v>0.85420486125385686</v>
      </c>
      <c r="I267" s="36">
        <v>13</v>
      </c>
      <c r="J26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0.2182668424175824</v>
      </c>
      <c r="K267" s="46">
        <f>Tabela25[[#This Row],[PREÇO PRATICADO]]*Tabela25[[#This Row],[LUCRO REAL %]]</f>
        <v>2.8374689514285714</v>
      </c>
      <c r="L267" s="24"/>
      <c r="M267" s="54">
        <f>IF(Tabela25[[#This Row],[QUANT. VENDA]]=0,0,((Tabela25[[#This Row],[CUSTO]]*Tabela25[[#This Row],[QUANT. VENDA]])/(Tabela25[[#This Row],[QUANT. VENDA]]*Tabela25[[#This Row],[PREÇO PRATICADO]])))</f>
        <v>0</v>
      </c>
      <c r="N267" s="48">
        <f>VLOOKUP(Tabela25[[#This Row],[CÓDIGO]],'[1]Estrutura Loja'!$B$3:$E$1825,4,0)</f>
        <v>3.3765310485714282</v>
      </c>
      <c r="O267" s="48">
        <f>Tabela25[[#This Row],[QUANT. VENDA]]*Tabela25[[#This Row],[PREÇO PRATICADO]]</f>
        <v>0</v>
      </c>
      <c r="P267" s="48">
        <f>Tabela25[[#This Row],[QUANT. VENDA]]*Tabela25[[#This Row],[CUSTO]]</f>
        <v>0</v>
      </c>
      <c r="Q267" s="49">
        <f>Tabela25[[#This Row],[CUSTO]]/Tabela25[[#This Row],[PREÇO PRATICADO]]</f>
        <v>0.25973315758241755</v>
      </c>
    </row>
    <row r="268" spans="1:20" x14ac:dyDescent="0.3">
      <c r="A268" s="42">
        <v>100400003</v>
      </c>
      <c r="B268" s="28">
        <v>1004</v>
      </c>
      <c r="C268" s="28" t="str">
        <f>VLOOKUP(Tabela25[[#This Row],[GRUPO]],[1]Produto!H59:I395,2,0)</f>
        <v>MS Trad. 400ml</v>
      </c>
      <c r="D268" s="43" t="s">
        <v>293</v>
      </c>
      <c r="E268" s="44">
        <v>16</v>
      </c>
      <c r="F268" s="44">
        <v>17</v>
      </c>
      <c r="G268" s="21">
        <f>VLOOKUP(Tabela25[[#This Row],[CÓDIGO]],'[1]Estrutura Loja'!$B$3:$M$2941,5,0)</f>
        <v>12.589790179856116</v>
      </c>
      <c r="H268" s="45">
        <f t="shared" si="4"/>
        <v>3.4102098201438835</v>
      </c>
      <c r="I268" s="44">
        <v>16</v>
      </c>
      <c r="J26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0.25925239562499991</v>
      </c>
      <c r="K268" s="46">
        <f>Tabela25[[#This Row],[PREÇO PRATICADO]]*Tabela25[[#This Row],[LUCRO REAL %]]</f>
        <v>4.1480383299999986</v>
      </c>
      <c r="L268" s="24"/>
      <c r="M268" s="54">
        <f>IF(Tabela25[[#This Row],[QUANT. VENDA]]=0,0,((Tabela25[[#This Row],[CUSTO]]*Tabela25[[#This Row],[QUANT. VENDA]])/(Tabela25[[#This Row],[QUANT. VENDA]]*Tabela25[[#This Row],[PREÇO PRATICADO]])))</f>
        <v>0</v>
      </c>
      <c r="N268" s="48">
        <f>VLOOKUP(Tabela25[[#This Row],[CÓDIGO]],'[1]Estrutura Loja'!$B$3:$E$1825,4,0)</f>
        <v>3.4999616700000007</v>
      </c>
      <c r="O268" s="48">
        <f>Tabela25[[#This Row],[QUANT. VENDA]]*Tabela25[[#This Row],[PREÇO PRATICADO]]</f>
        <v>0</v>
      </c>
      <c r="P268" s="48">
        <f>Tabela25[[#This Row],[QUANT. VENDA]]*Tabela25[[#This Row],[CUSTO]]</f>
        <v>0</v>
      </c>
      <c r="Q268" s="49">
        <f>Tabela25[[#This Row],[CUSTO]]/Tabela25[[#This Row],[PREÇO PRATICADO]]</f>
        <v>0.21874760437500004</v>
      </c>
    </row>
    <row r="269" spans="1:20" x14ac:dyDescent="0.3">
      <c r="A269" s="42">
        <v>100400005</v>
      </c>
      <c r="B269" s="28">
        <v>1004</v>
      </c>
      <c r="C269" s="28" t="str">
        <f>VLOOKUP(Tabela25[[#This Row],[GRUPO]],[1]Produto!H63:I397,2,0)</f>
        <v>MS Trad. 400ml</v>
      </c>
      <c r="D269" s="43" t="s">
        <v>294</v>
      </c>
      <c r="E269" s="44">
        <v>16</v>
      </c>
      <c r="F269" s="44">
        <v>17</v>
      </c>
      <c r="G269" s="21">
        <f>VLOOKUP(Tabela25[[#This Row],[CÓDIGO]],'[1]Estrutura Loja'!$B$3:$M$2941,5,0)</f>
        <v>14.881620082270819</v>
      </c>
      <c r="H269" s="45">
        <f t="shared" si="4"/>
        <v>1.1183799177291807</v>
      </c>
      <c r="I269" s="44">
        <v>16</v>
      </c>
      <c r="J26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0.21943185107054447</v>
      </c>
      <c r="K269" s="46">
        <f>Tabela25[[#This Row],[PREÇO PRATICADO]]*Tabela25[[#This Row],[LUCRO REAL %]]</f>
        <v>3.5109096171287115</v>
      </c>
      <c r="L269" s="24"/>
      <c r="M269" s="54">
        <f>IF(Tabela25[[#This Row],[QUANT. VENDA]]=0,0,((Tabela25[[#This Row],[CUSTO]]*Tabela25[[#This Row],[QUANT. VENDA]])/(Tabela25[[#This Row],[QUANT. VENDA]]*Tabela25[[#This Row],[PREÇO PRATICADO]])))</f>
        <v>0</v>
      </c>
      <c r="N269" s="48">
        <f>VLOOKUP(Tabela25[[#This Row],[CÓDIGO]],'[1]Estrutura Loja'!$B$3:$E$1825,4,0)</f>
        <v>4.1370903828712882</v>
      </c>
      <c r="O269" s="48">
        <f>Tabela25[[#This Row],[QUANT. VENDA]]*Tabela25[[#This Row],[PREÇO PRATICADO]]</f>
        <v>0</v>
      </c>
      <c r="P269" s="48">
        <f>Tabela25[[#This Row],[QUANT. VENDA]]*Tabela25[[#This Row],[CUSTO]]</f>
        <v>0</v>
      </c>
      <c r="Q269" s="49">
        <f>Tabela25[[#This Row],[CUSTO]]/Tabela25[[#This Row],[PREÇO PRATICADO]]</f>
        <v>0.25856814892945551</v>
      </c>
    </row>
    <row r="270" spans="1:20" x14ac:dyDescent="0.3">
      <c r="A270" s="42">
        <v>100400006</v>
      </c>
      <c r="B270" s="28">
        <v>1004</v>
      </c>
      <c r="C270" s="28" t="str">
        <f>VLOOKUP(Tabela25[[#This Row],[GRUPO]],[1]Produto!H63:I398,2,0)</f>
        <v>MS Trad. 400ml</v>
      </c>
      <c r="D270" s="43" t="s">
        <v>295</v>
      </c>
      <c r="E270" s="44">
        <v>16</v>
      </c>
      <c r="F270" s="44">
        <v>17</v>
      </c>
      <c r="G270" s="21">
        <f>VLOOKUP(Tabela25[[#This Row],[CÓDIGO]],'[1]Estrutura Loja'!$B$3:$M$2941,5,0)</f>
        <v>17.246291978417268</v>
      </c>
      <c r="H270" s="45">
        <f t="shared" si="4"/>
        <v>-1.2462919784172684</v>
      </c>
      <c r="I270" s="44">
        <v>16</v>
      </c>
      <c r="J27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0.17834567687499991</v>
      </c>
      <c r="K270" s="46">
        <f>Tabela25[[#This Row],[PREÇO PRATICADO]]*Tabela25[[#This Row],[LUCRO REAL %]]</f>
        <v>2.8535308299999986</v>
      </c>
      <c r="L270" s="24"/>
      <c r="M270" s="54">
        <f>IF(Tabela25[[#This Row],[QUANT. VENDA]]=0,0,((Tabela25[[#This Row],[CUSTO]]*Tabela25[[#This Row],[QUANT. VENDA]])/(Tabela25[[#This Row],[QUANT. VENDA]]*Tabela25[[#This Row],[PREÇO PRATICADO]])))</f>
        <v>0</v>
      </c>
      <c r="N270" s="48">
        <f>VLOOKUP(Tabela25[[#This Row],[CÓDIGO]],'[1]Estrutura Loja'!$B$3:$E$1825,4,0)</f>
        <v>4.7944691700000011</v>
      </c>
      <c r="O270" s="48">
        <f>Tabela25[[#This Row],[QUANT. VENDA]]*Tabela25[[#This Row],[PREÇO PRATICADO]]</f>
        <v>0</v>
      </c>
      <c r="P270" s="48">
        <f>Tabela25[[#This Row],[QUANT. VENDA]]*Tabela25[[#This Row],[CUSTO]]</f>
        <v>0</v>
      </c>
      <c r="Q270" s="49">
        <f>Tabela25[[#This Row],[CUSTO]]/Tabela25[[#This Row],[PREÇO PRATICADO]]</f>
        <v>0.29965432312500007</v>
      </c>
    </row>
    <row r="271" spans="1:20" x14ac:dyDescent="0.3">
      <c r="A271" s="42">
        <v>100400011</v>
      </c>
      <c r="B271" s="28">
        <v>1004</v>
      </c>
      <c r="C271" s="28" t="str">
        <f>VLOOKUP(Tabela25[[#This Row],[GRUPO]],[1]Produto!H64:I401,2,0)</f>
        <v>MS Trad. 400ml</v>
      </c>
      <c r="D271" s="43" t="s">
        <v>296</v>
      </c>
      <c r="E271" s="44">
        <v>16</v>
      </c>
      <c r="F271" s="44">
        <v>17</v>
      </c>
      <c r="G271" s="21">
        <f>VLOOKUP(Tabela25[[#This Row],[CÓDIGO]],'[1]Estrutura Loja'!$B$3:$M$2941,5,0)</f>
        <v>12.589790179856116</v>
      </c>
      <c r="H271" s="45">
        <f t="shared" si="4"/>
        <v>3.4102098201438835</v>
      </c>
      <c r="I271" s="44">
        <v>16</v>
      </c>
      <c r="J27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0.25925239562499991</v>
      </c>
      <c r="K271" s="46">
        <f>Tabela25[[#This Row],[PREÇO PRATICADO]]*Tabela25[[#This Row],[LUCRO REAL %]]</f>
        <v>4.1480383299999986</v>
      </c>
      <c r="L271" s="24"/>
      <c r="M271" s="54">
        <f>IF(Tabela25[[#This Row],[QUANT. VENDA]]=0,0,((Tabela25[[#This Row],[CUSTO]]*Tabela25[[#This Row],[QUANT. VENDA]])/(Tabela25[[#This Row],[QUANT. VENDA]]*Tabela25[[#This Row],[PREÇO PRATICADO]])))</f>
        <v>0</v>
      </c>
      <c r="N271" s="48">
        <f>VLOOKUP(Tabela25[[#This Row],[CÓDIGO]],'[1]Estrutura Loja'!$B$3:$E$1825,4,0)</f>
        <v>3.4999616700000007</v>
      </c>
      <c r="O271" s="48">
        <f>Tabela25[[#This Row],[QUANT. VENDA]]*Tabela25[[#This Row],[PREÇO PRATICADO]]</f>
        <v>0</v>
      </c>
      <c r="P271" s="48">
        <f>Tabela25[[#This Row],[QUANT. VENDA]]*Tabela25[[#This Row],[CUSTO]]</f>
        <v>0</v>
      </c>
      <c r="Q271" s="49">
        <f>Tabela25[[#This Row],[CUSTO]]/Tabela25[[#This Row],[PREÇO PRATICADO]]</f>
        <v>0.21874760437500004</v>
      </c>
    </row>
    <row r="272" spans="1:20" x14ac:dyDescent="0.3">
      <c r="A272" s="42">
        <v>100400027</v>
      </c>
      <c r="B272" s="28">
        <v>1004</v>
      </c>
      <c r="C272" s="28" t="str">
        <f>VLOOKUP(Tabela25[[#This Row],[GRUPO]],[1]Produto!H64:I401,2,0)</f>
        <v>MS Trad. 400ml</v>
      </c>
      <c r="D272" s="43" t="s">
        <v>297</v>
      </c>
      <c r="E272" s="44">
        <v>16</v>
      </c>
      <c r="F272" s="44">
        <v>17</v>
      </c>
      <c r="G272" s="21">
        <f>VLOOKUP(Tabela25[[#This Row],[CÓDIGO]],'[1]Estrutura Loja'!$B$3:$M$2941,5,0)</f>
        <v>16.595006007194247</v>
      </c>
      <c r="H272" s="45">
        <f t="shared" si="4"/>
        <v>-0.59500600719424668</v>
      </c>
      <c r="I272" s="44">
        <v>16</v>
      </c>
      <c r="J27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0.18966177062499989</v>
      </c>
      <c r="K272" s="46">
        <f>Tabela25[[#This Row],[PREÇO PRATICADO]]*Tabela25[[#This Row],[LUCRO REAL %]]</f>
        <v>3.0345883299999983</v>
      </c>
      <c r="L272" s="24"/>
      <c r="M272" s="54">
        <f>IF(Tabela25[[#This Row],[QUANT. VENDA]]=0,0,((Tabela25[[#This Row],[CUSTO]]*Tabela25[[#This Row],[QUANT. VENDA]])/(Tabela25[[#This Row],[QUANT. VENDA]]*Tabela25[[#This Row],[PREÇO PRATICADO]])))</f>
        <v>0</v>
      </c>
      <c r="N272" s="48">
        <f>VLOOKUP(Tabela25[[#This Row],[CÓDIGO]],'[1]Estrutura Loja'!$B$3:$E$1825,4,0)</f>
        <v>4.6134116700000014</v>
      </c>
      <c r="O272" s="48">
        <f>Tabela25[[#This Row],[QUANT. VENDA]]*Tabela25[[#This Row],[PREÇO PRATICADO]]</f>
        <v>0</v>
      </c>
      <c r="P272" s="48">
        <f>Tabela25[[#This Row],[QUANT. VENDA]]*Tabela25[[#This Row],[CUSTO]]</f>
        <v>0</v>
      </c>
      <c r="Q272" s="49">
        <f>Tabela25[[#This Row],[CUSTO]]/Tabela25[[#This Row],[PREÇO PRATICADO]]</f>
        <v>0.28833822937500009</v>
      </c>
    </row>
    <row r="273" spans="1:17" x14ac:dyDescent="0.3">
      <c r="A273" s="42">
        <v>100400012</v>
      </c>
      <c r="B273" s="28">
        <v>1004</v>
      </c>
      <c r="C273" s="28" t="str">
        <f>VLOOKUP(Tabela25[[#This Row],[GRUPO]],[1]Produto!H64:I402,2,0)</f>
        <v>MS Trad. 400ml</v>
      </c>
      <c r="D273" s="43" t="s">
        <v>298</v>
      </c>
      <c r="E273" s="44">
        <v>16</v>
      </c>
      <c r="F273" s="44">
        <v>17</v>
      </c>
      <c r="G273" s="21">
        <f>VLOOKUP(Tabela25[[#This Row],[CÓDIGO]],'[1]Estrutura Loja'!$B$3:$M$2941,5,0)</f>
        <v>18.593288381294965</v>
      </c>
      <c r="H273" s="45">
        <f t="shared" si="4"/>
        <v>-2.5932883812949648</v>
      </c>
      <c r="I273" s="44">
        <v>16</v>
      </c>
      <c r="J27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0.15494161437499993</v>
      </c>
      <c r="K273" s="46">
        <f>Tabela25[[#This Row],[PREÇO PRATICADO]]*Tabela25[[#This Row],[LUCRO REAL %]]</f>
        <v>2.4790658299999988</v>
      </c>
      <c r="L273" s="24"/>
      <c r="M273" s="54">
        <f>IF(Tabela25[[#This Row],[QUANT. VENDA]]=0,0,((Tabela25[[#This Row],[CUSTO]]*Tabela25[[#This Row],[QUANT. VENDA]])/(Tabela25[[#This Row],[QUANT. VENDA]]*Tabela25[[#This Row],[PREÇO PRATICADO]])))</f>
        <v>0</v>
      </c>
      <c r="N273" s="48">
        <f>VLOOKUP(Tabela25[[#This Row],[CÓDIGO]],'[1]Estrutura Loja'!$B$3:$E$1825,4,0)</f>
        <v>5.1689341700000009</v>
      </c>
      <c r="O273" s="48">
        <f>Tabela25[[#This Row],[QUANT. VENDA]]*Tabela25[[#This Row],[PREÇO PRATICADO]]</f>
        <v>0</v>
      </c>
      <c r="P273" s="48">
        <f>Tabela25[[#This Row],[QUANT. VENDA]]*Tabela25[[#This Row],[CUSTO]]</f>
        <v>0</v>
      </c>
      <c r="Q273" s="49">
        <f>Tabela25[[#This Row],[CUSTO]]/Tabela25[[#This Row],[PREÇO PRATICADO]]</f>
        <v>0.32305838562500006</v>
      </c>
    </row>
    <row r="274" spans="1:17" x14ac:dyDescent="0.3">
      <c r="A274" s="66">
        <v>100400055</v>
      </c>
      <c r="B274" s="28">
        <v>1004</v>
      </c>
      <c r="C274" s="28" t="str">
        <f>VLOOKUP(Tabela25[[#This Row],[GRUPO]],[1]Produto!H66:I404,2,0)</f>
        <v>MS Trad. 400ml</v>
      </c>
      <c r="D274" s="43" t="s">
        <v>299</v>
      </c>
      <c r="E274" s="44">
        <v>16</v>
      </c>
      <c r="F274" s="44">
        <v>17</v>
      </c>
      <c r="G274" s="45">
        <f>VLOOKUP(Tabela25[[#This Row],[CÓDIGO]],'[1]Estrutura Loja'!$B$3:$M$2941,5,0)</f>
        <v>15.455941258992807</v>
      </c>
      <c r="H274" s="45">
        <f t="shared" si="4"/>
        <v>0.54405874100719309</v>
      </c>
      <c r="I274" s="44">
        <v>16</v>
      </c>
      <c r="J27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0.20945302062499993</v>
      </c>
      <c r="K274" s="23">
        <f>Tabela25[[#This Row],[PREÇO PRATICADO]]*Tabela25[[#This Row],[LUCRO REAL %]]</f>
        <v>3.3512483299999989</v>
      </c>
      <c r="L274" s="57"/>
      <c r="M274" s="54">
        <f>IF(Tabela25[[#This Row],[QUANT. VENDA]]=0,0,((Tabela25[[#This Row],[CUSTO]]*Tabela25[[#This Row],[QUANT. VENDA]])/(Tabela25[[#This Row],[QUANT. VENDA]]*Tabela25[[#This Row],[PREÇO PRATICADO]])))</f>
        <v>0</v>
      </c>
      <c r="N274" s="39">
        <f>VLOOKUP(Tabela25[[#This Row],[CÓDIGO]],'[1]Estrutura Loja'!$B$3:$E$1825,4,0)</f>
        <v>4.2967516700000008</v>
      </c>
      <c r="O274" s="48">
        <f>Tabela25[[#This Row],[QUANT. VENDA]]*Tabela25[[#This Row],[PREÇO PRATICADO]]</f>
        <v>0</v>
      </c>
      <c r="P274" s="48">
        <f>Tabela25[[#This Row],[QUANT. VENDA]]*Tabela25[[#This Row],[CUSTO]]</f>
        <v>0</v>
      </c>
      <c r="Q274" s="55">
        <f>Tabela25[[#This Row],[CUSTO]]/Tabela25[[#This Row],[PREÇO PRATICADO]]</f>
        <v>0.26854697937500005</v>
      </c>
    </row>
    <row r="275" spans="1:17" x14ac:dyDescent="0.3">
      <c r="A275" s="42">
        <v>100400018</v>
      </c>
      <c r="B275" s="28">
        <v>1004</v>
      </c>
      <c r="C275" s="28" t="str">
        <f>VLOOKUP(Tabela25[[#This Row],[GRUPO]],[1]Produto!H67:I407,2,0)</f>
        <v>MS Trad. 400ml</v>
      </c>
      <c r="D275" s="43" t="s">
        <v>300</v>
      </c>
      <c r="E275" s="44">
        <v>16</v>
      </c>
      <c r="F275" s="44">
        <v>17</v>
      </c>
      <c r="G275" s="21">
        <f>VLOOKUP(Tabela25[[#This Row],[CÓDIGO]],'[1]Estrutura Loja'!$B$3:$M$2941,5,0)</f>
        <v>15.918468237410075</v>
      </c>
      <c r="H275" s="45">
        <f t="shared" si="4"/>
        <v>8.1531762589925449E-2</v>
      </c>
      <c r="I275" s="44">
        <v>16</v>
      </c>
      <c r="J27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0.20141661437499991</v>
      </c>
      <c r="K275" s="46">
        <f>Tabela25[[#This Row],[PREÇO PRATICADO]]*Tabela25[[#This Row],[LUCRO REAL %]]</f>
        <v>3.2226658299999986</v>
      </c>
      <c r="L275" s="24"/>
      <c r="M275" s="54">
        <f>IF(Tabela25[[#This Row],[QUANT. VENDA]]=0,0,((Tabela25[[#This Row],[CUSTO]]*Tabela25[[#This Row],[QUANT. VENDA]])/(Tabela25[[#This Row],[QUANT. VENDA]]*Tabela25[[#This Row],[PREÇO PRATICADO]])))</f>
        <v>0</v>
      </c>
      <c r="N275" s="48">
        <f>VLOOKUP(Tabela25[[#This Row],[CÓDIGO]],'[1]Estrutura Loja'!$B$3:$E$1825,4,0)</f>
        <v>4.4253341700000011</v>
      </c>
      <c r="O275" s="48">
        <f>Tabela25[[#This Row],[QUANT. VENDA]]*Tabela25[[#This Row],[PREÇO PRATICADO]]</f>
        <v>0</v>
      </c>
      <c r="P275" s="48">
        <f>Tabela25[[#This Row],[QUANT. VENDA]]*Tabela25[[#This Row],[CUSTO]]</f>
        <v>0</v>
      </c>
      <c r="Q275" s="49">
        <f>Tabela25[[#This Row],[CUSTO]]/Tabela25[[#This Row],[PREÇO PRATICADO]]</f>
        <v>0.27658338562500007</v>
      </c>
    </row>
    <row r="276" spans="1:17" x14ac:dyDescent="0.3">
      <c r="A276" s="42">
        <v>100400031</v>
      </c>
      <c r="B276" s="28">
        <v>1004</v>
      </c>
      <c r="C276" s="28" t="str">
        <f>VLOOKUP(Tabela25[[#This Row],[GRUPO]],[1]Produto!H74:I407,2,0)</f>
        <v>MS Trad. 400ml</v>
      </c>
      <c r="D276" s="43" t="s">
        <v>301</v>
      </c>
      <c r="E276" s="44">
        <v>16</v>
      </c>
      <c r="F276" s="44">
        <v>17</v>
      </c>
      <c r="G276" s="21">
        <f>VLOOKUP(Tabela25[[#This Row],[CÓDIGO]],'[1]Estrutura Loja'!$B$3:$M$2941,5,0)</f>
        <v>15.495751125385407</v>
      </c>
      <c r="H276" s="45">
        <f t="shared" si="4"/>
        <v>0.50424887461459278</v>
      </c>
      <c r="I276" s="44">
        <v>16</v>
      </c>
      <c r="J27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0.20876132419642851</v>
      </c>
      <c r="K276" s="46">
        <f>Tabela25[[#This Row],[PREÇO PRATICADO]]*Tabela25[[#This Row],[LUCRO REAL %]]</f>
        <v>3.3401811871428562</v>
      </c>
      <c r="L276" s="24"/>
      <c r="M276" s="54">
        <f>IF(Tabela25[[#This Row],[QUANT. VENDA]]=0,0,((Tabela25[[#This Row],[CUSTO]]*Tabela25[[#This Row],[QUANT. VENDA]])/(Tabela25[[#This Row],[QUANT. VENDA]]*Tabela25[[#This Row],[PREÇO PRATICADO]])))</f>
        <v>0</v>
      </c>
      <c r="N276" s="48">
        <f>VLOOKUP(Tabela25[[#This Row],[CÓDIGO]],'[1]Estrutura Loja'!$B$3:$E$1825,4,0)</f>
        <v>4.3078188128571435</v>
      </c>
      <c r="O276" s="48">
        <f>Tabela25[[#This Row],[QUANT. VENDA]]*Tabela25[[#This Row],[PREÇO PRATICADO]]</f>
        <v>0</v>
      </c>
      <c r="P276" s="48">
        <f>Tabela25[[#This Row],[QUANT. VENDA]]*Tabela25[[#This Row],[CUSTO]]</f>
        <v>0</v>
      </c>
      <c r="Q276" s="49">
        <f>Tabela25[[#This Row],[CUSTO]]/Tabela25[[#This Row],[PREÇO PRATICADO]]</f>
        <v>0.26923867580357147</v>
      </c>
    </row>
    <row r="277" spans="1:17" x14ac:dyDescent="0.3">
      <c r="A277" s="42">
        <v>100400035</v>
      </c>
      <c r="B277" s="28">
        <v>1004</v>
      </c>
      <c r="C277" s="28" t="str">
        <f>VLOOKUP(Tabela25[[#This Row],[GRUPO]],[1]Produto!H80:I407,2,0)</f>
        <v>MS Trad. 400ml</v>
      </c>
      <c r="D277" s="43" t="s">
        <v>302</v>
      </c>
      <c r="E277" s="44">
        <v>16</v>
      </c>
      <c r="F277" s="44">
        <v>17</v>
      </c>
      <c r="G277" s="21">
        <f>VLOOKUP(Tabela25[[#This Row],[CÓDIGO]],'[1]Estrutura Loja'!$B$3:$M$2941,5,0)</f>
        <v>17.802482882836589</v>
      </c>
      <c r="H277" s="45">
        <f t="shared" si="4"/>
        <v>-1.8024828828365891</v>
      </c>
      <c r="I277" s="44">
        <v>16</v>
      </c>
      <c r="J27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0.16868185991071422</v>
      </c>
      <c r="K277" s="46">
        <f>Tabela25[[#This Row],[PREÇO PRATICADO]]*Tabela25[[#This Row],[LUCRO REAL %]]</f>
        <v>2.6989097585714275</v>
      </c>
      <c r="L277" s="24"/>
      <c r="M277" s="54">
        <f>IF(Tabela25[[#This Row],[QUANT. VENDA]]=0,0,((Tabela25[[#This Row],[CUSTO]]*Tabela25[[#This Row],[QUANT. VENDA]])/(Tabela25[[#This Row],[QUANT. VENDA]]*Tabela25[[#This Row],[PREÇO PRATICADO]])))</f>
        <v>0</v>
      </c>
      <c r="N277" s="48">
        <f>VLOOKUP(Tabela25[[#This Row],[CÓDIGO]],'[1]Estrutura Loja'!$B$3:$E$1825,4,0)</f>
        <v>4.9490902414285722</v>
      </c>
      <c r="O277" s="48">
        <f>Tabela25[[#This Row],[QUANT. VENDA]]*Tabela25[[#This Row],[PREÇO PRATICADO]]</f>
        <v>0</v>
      </c>
      <c r="P277" s="48">
        <f>Tabela25[[#This Row],[QUANT. VENDA]]*Tabela25[[#This Row],[CUSTO]]</f>
        <v>0</v>
      </c>
      <c r="Q277" s="49">
        <f>Tabela25[[#This Row],[CUSTO]]/Tabela25[[#This Row],[PREÇO PRATICADO]]</f>
        <v>0.30931814008928576</v>
      </c>
    </row>
    <row r="278" spans="1:17" x14ac:dyDescent="0.3">
      <c r="A278" s="42">
        <v>100400046</v>
      </c>
      <c r="B278" s="28">
        <v>1004</v>
      </c>
      <c r="C278" s="28" t="str">
        <f>VLOOKUP(Tabela25[[#This Row],[GRUPO]],[1]Produto!H81:I407,2,0)</f>
        <v>MS Trad. 400ml</v>
      </c>
      <c r="D278" s="43" t="s">
        <v>303</v>
      </c>
      <c r="E278" s="44">
        <v>16</v>
      </c>
      <c r="F278" s="44">
        <v>17</v>
      </c>
      <c r="G278" s="21">
        <f>VLOOKUP(Tabela25[[#This Row],[CÓDIGO]],'[1]Estrutura Loja'!$B$3:$M$2941,5,0)</f>
        <v>16.120152140287772</v>
      </c>
      <c r="H278" s="45">
        <f t="shared" si="4"/>
        <v>-0.12015214028777166</v>
      </c>
      <c r="I278" s="44">
        <v>16</v>
      </c>
      <c r="J27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0.19791235656249995</v>
      </c>
      <c r="K278" s="46">
        <f>Tabela25[[#This Row],[PREÇO PRATICADO]]*Tabela25[[#This Row],[LUCRO REAL %]]</f>
        <v>3.1665977049999992</v>
      </c>
      <c r="L278" s="24"/>
      <c r="M278" s="54">
        <f>IF(Tabela25[[#This Row],[QUANT. VENDA]]=0,0,((Tabela25[[#This Row],[CUSTO]]*Tabela25[[#This Row],[QUANT. VENDA]])/(Tabela25[[#This Row],[QUANT. VENDA]]*Tabela25[[#This Row],[PREÇO PRATICADO]])))</f>
        <v>0</v>
      </c>
      <c r="N278" s="48">
        <f>VLOOKUP(Tabela25[[#This Row],[CÓDIGO]],'[1]Estrutura Loja'!$B$3:$E$1825,4,0)</f>
        <v>4.4814022950000005</v>
      </c>
      <c r="O278" s="48">
        <f>Tabela25[[#This Row],[QUANT. VENDA]]*Tabela25[[#This Row],[PREÇO PRATICADO]]</f>
        <v>0</v>
      </c>
      <c r="P278" s="48">
        <f>Tabela25[[#This Row],[QUANT. VENDA]]*Tabela25[[#This Row],[CUSTO]]</f>
        <v>0</v>
      </c>
      <c r="Q278" s="49">
        <f>Tabela25[[#This Row],[CUSTO]]/Tabela25[[#This Row],[PREÇO PRATICADO]]</f>
        <v>0.28008764343750003</v>
      </c>
    </row>
    <row r="279" spans="1:17" x14ac:dyDescent="0.3">
      <c r="A279" s="66">
        <v>100400062</v>
      </c>
      <c r="B279" s="34">
        <v>1004</v>
      </c>
      <c r="C279" s="28" t="str">
        <f>VLOOKUP(Tabela25[[#This Row],[GRUPO]],[1]Produto!H67:I405,2,0)</f>
        <v>MS Trad. 400ml</v>
      </c>
      <c r="D279" s="51" t="s">
        <v>304</v>
      </c>
      <c r="E279" s="36">
        <v>16</v>
      </c>
      <c r="F279" s="36">
        <v>17</v>
      </c>
      <c r="G279" s="37">
        <f>VLOOKUP(Tabela25[[#This Row],[CÓDIGO]],'[1]Estrutura Loja'!$B$3:$M$2941,5,0)</f>
        <v>17.219286582733815</v>
      </c>
      <c r="H279" s="37">
        <f t="shared" si="4"/>
        <v>-1.2192865827338153</v>
      </c>
      <c r="I279" s="36">
        <v>16</v>
      </c>
      <c r="J279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0.17881489562499991</v>
      </c>
      <c r="K279" s="53">
        <f>Tabela25[[#This Row],[PREÇO PRATICADO]]*Tabela25[[#This Row],[LUCRO REAL %]]</f>
        <v>2.8610383299999986</v>
      </c>
      <c r="L279" s="38"/>
      <c r="M279" s="67">
        <f>IF(Tabela25[[#This Row],[QUANT. VENDA]]=0,0,((Tabela25[[#This Row],[CUSTO]]*Tabela25[[#This Row],[QUANT. VENDA]])/(Tabela25[[#This Row],[QUANT. VENDA]]*Tabela25[[#This Row],[PREÇO PRATICADO]])))</f>
        <v>0</v>
      </c>
      <c r="N279" s="39">
        <f>VLOOKUP(Tabela25[[#This Row],[CÓDIGO]],'[1]Estrutura Loja'!$B$3:$E$1825,4,0)</f>
        <v>4.7869616700000011</v>
      </c>
      <c r="O279" s="39">
        <f>Tabela25[[#This Row],[QUANT. VENDA]]*Tabela25[[#This Row],[PREÇO PRATICADO]]</f>
        <v>0</v>
      </c>
      <c r="P279" s="39">
        <f>Tabela25[[#This Row],[QUANT. VENDA]]*Tabela25[[#This Row],[CUSTO]]</f>
        <v>0</v>
      </c>
      <c r="Q279" s="55">
        <f>Tabela25[[#This Row],[CUSTO]]/Tabela25[[#This Row],[PREÇO PRATICADO]]</f>
        <v>0.29918510437500007</v>
      </c>
    </row>
    <row r="280" spans="1:17" x14ac:dyDescent="0.3">
      <c r="A280" s="42">
        <v>100400045</v>
      </c>
      <c r="B280" s="28">
        <v>1004</v>
      </c>
      <c r="C280" s="28" t="str">
        <f>VLOOKUP(Tabela25[[#This Row],[GRUPO]],[1]Produto!H83:I408,2,0)</f>
        <v>MS Trad. 400ml</v>
      </c>
      <c r="D280" s="43" t="s">
        <v>305</v>
      </c>
      <c r="E280" s="44">
        <v>16</v>
      </c>
      <c r="F280" s="44">
        <v>17</v>
      </c>
      <c r="G280" s="21">
        <f>VLOOKUP(Tabela25[[#This Row],[CÓDIGO]],'[1]Estrutura Loja'!$B$3:$M$2941,5,0)</f>
        <v>17.399656572456323</v>
      </c>
      <c r="H280" s="45">
        <f t="shared" si="4"/>
        <v>-1.3996565724563226</v>
      </c>
      <c r="I280" s="44">
        <v>16</v>
      </c>
      <c r="J28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0.17568096705357134</v>
      </c>
      <c r="K280" s="46">
        <f>Tabela25[[#This Row],[PREÇO PRATICADO]]*Tabela25[[#This Row],[LUCRO REAL %]]</f>
        <v>2.8108954728571414</v>
      </c>
      <c r="L280" s="24"/>
      <c r="M280" s="54">
        <f>IF(Tabela25[[#This Row],[QUANT. VENDA]]=0,0,((Tabela25[[#This Row],[CUSTO]]*Tabela25[[#This Row],[QUANT. VENDA]])/(Tabela25[[#This Row],[QUANT. VENDA]]*Tabela25[[#This Row],[PREÇO PRATICADO]])))</f>
        <v>0</v>
      </c>
      <c r="N280" s="48">
        <f>VLOOKUP(Tabela25[[#This Row],[CÓDIGO]],'[1]Estrutura Loja'!$B$3:$E$1825,4,0)</f>
        <v>4.8371045271428583</v>
      </c>
      <c r="O280" s="48">
        <f>Tabela25[[#This Row],[QUANT. VENDA]]*Tabela25[[#This Row],[PREÇO PRATICADO]]</f>
        <v>0</v>
      </c>
      <c r="P280" s="48">
        <f>Tabela25[[#This Row],[QUANT. VENDA]]*Tabela25[[#This Row],[CUSTO]]</f>
        <v>0</v>
      </c>
      <c r="Q280" s="49">
        <f>Tabela25[[#This Row],[CUSTO]]/Tabela25[[#This Row],[PREÇO PRATICADO]]</f>
        <v>0.30231903294642865</v>
      </c>
    </row>
    <row r="281" spans="1:17" x14ac:dyDescent="0.3">
      <c r="A281" s="42">
        <v>100500003</v>
      </c>
      <c r="B281" s="28">
        <v>1005</v>
      </c>
      <c r="C281" s="28" t="str">
        <f>VLOOKUP(Tabela25[[#This Row],[GRUPO]],[1]Produto!H86:I411,2,0)</f>
        <v>MS Trad. 500ml</v>
      </c>
      <c r="D281" s="43" t="s">
        <v>306</v>
      </c>
      <c r="E281" s="36">
        <v>19</v>
      </c>
      <c r="F281" s="36">
        <v>20</v>
      </c>
      <c r="G281" s="21">
        <f>VLOOKUP(Tabela25[[#This Row],[CÓDIGO]],'[1]Estrutura Loja'!$B$3:$M$2941,5,0)</f>
        <v>15.111536043165469</v>
      </c>
      <c r="H281" s="45">
        <f t="shared" si="4"/>
        <v>3.8884639568345314</v>
      </c>
      <c r="I281" s="44">
        <v>19</v>
      </c>
      <c r="J28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0.25689436736842097</v>
      </c>
      <c r="K281" s="46">
        <f>Tabela25[[#This Row],[PREÇO PRATICADO]]*Tabela25[[#This Row],[LUCRO REAL %]]</f>
        <v>4.8809929799999985</v>
      </c>
      <c r="L281" s="24"/>
      <c r="M281" s="54">
        <f>IF(Tabela25[[#This Row],[QUANT. VENDA]]=0,0,((Tabela25[[#This Row],[CUSTO]]*Tabela25[[#This Row],[QUANT. VENDA]])/(Tabela25[[#This Row],[QUANT. VENDA]]*Tabela25[[#This Row],[PREÇO PRATICADO]])))</f>
        <v>0</v>
      </c>
      <c r="N281" s="48">
        <f>VLOOKUP(Tabela25[[#This Row],[CÓDIGO]],'[1]Estrutura Loja'!$B$3:$E$1825,4,0)</f>
        <v>4.2010070200000005</v>
      </c>
      <c r="O281" s="48">
        <f>Tabela25[[#This Row],[QUANT. VENDA]]*Tabela25[[#This Row],[PREÇO PRATICADO]]</f>
        <v>0</v>
      </c>
      <c r="P281" s="48">
        <f>Tabela25[[#This Row],[QUANT. VENDA]]*Tabela25[[#This Row],[CUSTO]]</f>
        <v>0</v>
      </c>
      <c r="Q281" s="49">
        <f>Tabela25[[#This Row],[CUSTO]]/Tabela25[[#This Row],[PREÇO PRATICADO]]</f>
        <v>0.22110563263157898</v>
      </c>
    </row>
    <row r="282" spans="1:17" x14ac:dyDescent="0.3">
      <c r="A282" s="42">
        <v>100500005</v>
      </c>
      <c r="B282" s="28">
        <v>1005</v>
      </c>
      <c r="C282" s="28" t="str">
        <f>VLOOKUP(Tabela25[[#This Row],[GRUPO]],[1]Produto!H88:I414,2,0)</f>
        <v>MS Trad. 500ml</v>
      </c>
      <c r="D282" s="43" t="s">
        <v>307</v>
      </c>
      <c r="E282" s="36">
        <v>19</v>
      </c>
      <c r="F282" s="36">
        <v>20</v>
      </c>
      <c r="G282" s="21">
        <f>VLOOKUP(Tabela25[[#This Row],[CÓDIGO]],'[1]Estrutura Loja'!$B$3:$M$2941,5,0)</f>
        <v>18.167309246385074</v>
      </c>
      <c r="H282" s="45">
        <f t="shared" si="4"/>
        <v>0.83269075361492639</v>
      </c>
      <c r="I282" s="44">
        <v>19</v>
      </c>
      <c r="J28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0.21218358050026043</v>
      </c>
      <c r="K282" s="46">
        <f>Tabela25[[#This Row],[PREÇO PRATICADO]]*Tabela25[[#This Row],[LUCRO REAL %]]</f>
        <v>4.0314880295049482</v>
      </c>
      <c r="L282" s="24"/>
      <c r="M282" s="54">
        <f>IF(Tabela25[[#This Row],[QUANT. VENDA]]=0,0,((Tabela25[[#This Row],[CUSTO]]*Tabela25[[#This Row],[QUANT. VENDA]])/(Tabela25[[#This Row],[QUANT. VENDA]]*Tabela25[[#This Row],[PREÇO PRATICADO]])))</f>
        <v>0</v>
      </c>
      <c r="N282" s="48">
        <f>VLOOKUP(Tabela25[[#This Row],[CÓDIGO]],'[1]Estrutura Loja'!$B$3:$E$1825,4,0)</f>
        <v>5.0505119704950507</v>
      </c>
      <c r="O282" s="48">
        <f>Tabela25[[#This Row],[QUANT. VENDA]]*Tabela25[[#This Row],[PREÇO PRATICADO]]</f>
        <v>0</v>
      </c>
      <c r="P282" s="48">
        <f>Tabela25[[#This Row],[QUANT. VENDA]]*Tabela25[[#This Row],[CUSTO]]</f>
        <v>0</v>
      </c>
      <c r="Q282" s="49">
        <f>Tabela25[[#This Row],[CUSTO]]/Tabela25[[#This Row],[PREÇO PRATICADO]]</f>
        <v>0.2658164194997395</v>
      </c>
    </row>
    <row r="283" spans="1:17" x14ac:dyDescent="0.3">
      <c r="A283" s="42">
        <v>100500006</v>
      </c>
      <c r="B283" s="28">
        <v>1005</v>
      </c>
      <c r="C283" s="28" t="str">
        <f>VLOOKUP(Tabela25[[#This Row],[GRUPO]],[1]Produto!H88:I415,2,0)</f>
        <v>MS Trad. 500ml</v>
      </c>
      <c r="D283" s="43" t="s">
        <v>308</v>
      </c>
      <c r="E283" s="36">
        <v>19</v>
      </c>
      <c r="F283" s="36">
        <v>20</v>
      </c>
      <c r="G283" s="21">
        <f>VLOOKUP(Tabela25[[#This Row],[CÓDIGO]],'[1]Estrutura Loja'!$B$3:$M$2941,5,0)</f>
        <v>21.320205107913672</v>
      </c>
      <c r="H283" s="45">
        <f t="shared" si="4"/>
        <v>-2.3202051079136723</v>
      </c>
      <c r="I283" s="44">
        <v>19</v>
      </c>
      <c r="J28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0.16605173578947358</v>
      </c>
      <c r="K283" s="46">
        <f>Tabela25[[#This Row],[PREÇO PRATICADO]]*Tabela25[[#This Row],[LUCRO REAL %]]</f>
        <v>3.154982979999998</v>
      </c>
      <c r="L283" s="24"/>
      <c r="M283" s="54">
        <f>IF(Tabela25[[#This Row],[QUANT. VENDA]]=0,0,((Tabela25[[#This Row],[CUSTO]]*Tabela25[[#This Row],[QUANT. VENDA]])/(Tabela25[[#This Row],[QUANT. VENDA]]*Tabela25[[#This Row],[PREÇO PRATICADO]])))</f>
        <v>0</v>
      </c>
      <c r="N283" s="48">
        <f>VLOOKUP(Tabela25[[#This Row],[CÓDIGO]],'[1]Estrutura Loja'!$B$3:$E$1825,4,0)</f>
        <v>5.927017020000001</v>
      </c>
      <c r="O283" s="48">
        <f>Tabela25[[#This Row],[QUANT. VENDA]]*Tabela25[[#This Row],[PREÇO PRATICADO]]</f>
        <v>0</v>
      </c>
      <c r="P283" s="48">
        <f>Tabela25[[#This Row],[QUANT. VENDA]]*Tabela25[[#This Row],[CUSTO]]</f>
        <v>0</v>
      </c>
      <c r="Q283" s="49">
        <f>Tabela25[[#This Row],[CUSTO]]/Tabela25[[#This Row],[PREÇO PRATICADO]]</f>
        <v>0.31194826421052635</v>
      </c>
    </row>
    <row r="284" spans="1:17" x14ac:dyDescent="0.3">
      <c r="A284" s="42">
        <v>100500011</v>
      </c>
      <c r="B284" s="28">
        <v>1005</v>
      </c>
      <c r="C284" s="28" t="str">
        <f>VLOOKUP(Tabela25[[#This Row],[GRUPO]],[1]Produto!H88:I416,2,0)</f>
        <v>MS Trad. 500ml</v>
      </c>
      <c r="D284" s="43" t="s">
        <v>309</v>
      </c>
      <c r="E284" s="36">
        <v>19</v>
      </c>
      <c r="F284" s="36">
        <v>20</v>
      </c>
      <c r="G284" s="21">
        <f>VLOOKUP(Tabela25[[#This Row],[CÓDIGO]],'[1]Estrutura Loja'!$B$3:$M$2941,5,0)</f>
        <v>15.111536043165469</v>
      </c>
      <c r="H284" s="45">
        <f t="shared" si="4"/>
        <v>3.8884639568345314</v>
      </c>
      <c r="I284" s="44">
        <v>19</v>
      </c>
      <c r="J28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0.25689436736842097</v>
      </c>
      <c r="K284" s="46">
        <f>Tabela25[[#This Row],[PREÇO PRATICADO]]*Tabela25[[#This Row],[LUCRO REAL %]]</f>
        <v>4.8809929799999985</v>
      </c>
      <c r="L284" s="24"/>
      <c r="M284" s="54">
        <f>IF(Tabela25[[#This Row],[QUANT. VENDA]]=0,0,((Tabela25[[#This Row],[CUSTO]]*Tabela25[[#This Row],[QUANT. VENDA]])/(Tabela25[[#This Row],[QUANT. VENDA]]*Tabela25[[#This Row],[PREÇO PRATICADO]])))</f>
        <v>0</v>
      </c>
      <c r="N284" s="48">
        <f>VLOOKUP(Tabela25[[#This Row],[CÓDIGO]],'[1]Estrutura Loja'!$B$3:$E$1825,4,0)</f>
        <v>4.2010070200000005</v>
      </c>
      <c r="O284" s="48">
        <f>Tabela25[[#This Row],[QUANT. VENDA]]*Tabela25[[#This Row],[PREÇO PRATICADO]]</f>
        <v>0</v>
      </c>
      <c r="P284" s="48">
        <f>Tabela25[[#This Row],[QUANT. VENDA]]*Tabela25[[#This Row],[CUSTO]]</f>
        <v>0</v>
      </c>
      <c r="Q284" s="49">
        <f>Tabela25[[#This Row],[CUSTO]]/Tabela25[[#This Row],[PREÇO PRATICADO]]</f>
        <v>0.22110563263157898</v>
      </c>
    </row>
    <row r="285" spans="1:17" x14ac:dyDescent="0.3">
      <c r="A285" s="42">
        <v>100500027</v>
      </c>
      <c r="B285" s="28">
        <v>1005</v>
      </c>
      <c r="C285" s="28" t="str">
        <f>VLOOKUP(Tabela25[[#This Row],[GRUPO]],[1]Produto!H88:I417,2,0)</f>
        <v>MS Trad. 500ml</v>
      </c>
      <c r="D285" s="43" t="s">
        <v>310</v>
      </c>
      <c r="E285" s="36">
        <v>19</v>
      </c>
      <c r="F285" s="36">
        <v>20</v>
      </c>
      <c r="G285" s="21">
        <f>VLOOKUP(Tabela25[[#This Row],[CÓDIGO]],'[1]Estrutura Loja'!$B$3:$M$2941,5,0)</f>
        <v>20.451823812949645</v>
      </c>
      <c r="H285" s="45">
        <f t="shared" si="4"/>
        <v>-1.4518238129496446</v>
      </c>
      <c r="I285" s="44">
        <v>19</v>
      </c>
      <c r="J28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0.17875752526315775</v>
      </c>
      <c r="K285" s="46">
        <f>Tabela25[[#This Row],[PREÇO PRATICADO]]*Tabela25[[#This Row],[LUCRO REAL %]]</f>
        <v>3.3963929799999972</v>
      </c>
      <c r="L285" s="24"/>
      <c r="M285" s="54">
        <f>IF(Tabela25[[#This Row],[QUANT. VENDA]]=0,0,((Tabela25[[#This Row],[CUSTO]]*Tabela25[[#This Row],[QUANT. VENDA]])/(Tabela25[[#This Row],[QUANT. VENDA]]*Tabela25[[#This Row],[PREÇO PRATICADO]])))</f>
        <v>0</v>
      </c>
      <c r="N285" s="48">
        <f>VLOOKUP(Tabela25[[#This Row],[CÓDIGO]],'[1]Estrutura Loja'!$B$3:$E$1825,4,0)</f>
        <v>5.6856070200000017</v>
      </c>
      <c r="O285" s="48">
        <f>Tabela25[[#This Row],[QUANT. VENDA]]*Tabela25[[#This Row],[PREÇO PRATICADO]]</f>
        <v>0</v>
      </c>
      <c r="P285" s="48">
        <f>Tabela25[[#This Row],[QUANT. VENDA]]*Tabela25[[#This Row],[CUSTO]]</f>
        <v>0</v>
      </c>
      <c r="Q285" s="49">
        <f>Tabela25[[#This Row],[CUSTO]]/Tabela25[[#This Row],[PREÇO PRATICADO]]</f>
        <v>0.29924247473684218</v>
      </c>
    </row>
    <row r="286" spans="1:17" x14ac:dyDescent="0.3">
      <c r="A286" s="42">
        <v>100500012</v>
      </c>
      <c r="B286" s="28">
        <v>1005</v>
      </c>
      <c r="C286" s="28" t="str">
        <f>VLOOKUP(Tabela25[[#This Row],[GRUPO]],[1]Produto!H88:I418,2,0)</f>
        <v>MS Trad. 500ml</v>
      </c>
      <c r="D286" s="43" t="s">
        <v>311</v>
      </c>
      <c r="E286" s="36">
        <v>19</v>
      </c>
      <c r="F286" s="36">
        <v>20</v>
      </c>
      <c r="G286" s="21">
        <f>VLOOKUP(Tabela25[[#This Row],[CÓDIGO]],'[1]Estrutura Loja'!$B$3:$M$2941,5,0)</f>
        <v>22.224593597122301</v>
      </c>
      <c r="H286" s="45">
        <f t="shared" si="4"/>
        <v>-3.2245935971223005</v>
      </c>
      <c r="I286" s="44">
        <v>19</v>
      </c>
      <c r="J28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0.15281910421052625</v>
      </c>
      <c r="K286" s="46">
        <f>Tabela25[[#This Row],[PREÇO PRATICADO]]*Tabela25[[#This Row],[LUCRO REAL %]]</f>
        <v>2.9035629799999985</v>
      </c>
      <c r="L286" s="24"/>
      <c r="M286" s="54">
        <f>IF(Tabela25[[#This Row],[QUANT. VENDA]]=0,0,((Tabela25[[#This Row],[CUSTO]]*Tabela25[[#This Row],[QUANT. VENDA]])/(Tabela25[[#This Row],[QUANT. VENDA]]*Tabela25[[#This Row],[PREÇO PRATICADO]])))</f>
        <v>0</v>
      </c>
      <c r="N286" s="48">
        <f>VLOOKUP(Tabela25[[#This Row],[CÓDIGO]],'[1]Estrutura Loja'!$B$3:$E$1825,4,0)</f>
        <v>6.1784370200000005</v>
      </c>
      <c r="O286" s="48">
        <f>Tabela25[[#This Row],[QUANT. VENDA]]*Tabela25[[#This Row],[PREÇO PRATICADO]]</f>
        <v>0</v>
      </c>
      <c r="P286" s="48">
        <f>Tabela25[[#This Row],[QUANT. VENDA]]*Tabela25[[#This Row],[CUSTO]]</f>
        <v>0</v>
      </c>
      <c r="Q286" s="49">
        <f>Tabela25[[#This Row],[CUSTO]]/Tabela25[[#This Row],[PREÇO PRATICADO]]</f>
        <v>0.32518089578947373</v>
      </c>
    </row>
    <row r="287" spans="1:17" x14ac:dyDescent="0.3">
      <c r="A287" s="42">
        <v>100500055</v>
      </c>
      <c r="B287" s="28">
        <v>1005</v>
      </c>
      <c r="C287" s="28" t="str">
        <f>VLOOKUP(Tabela25[[#This Row],[GRUPO]],[1]Produto!H114:I438,2,0)</f>
        <v>MS Trad. 500ml</v>
      </c>
      <c r="D287" s="43" t="s">
        <v>312</v>
      </c>
      <c r="E287" s="36">
        <v>19</v>
      </c>
      <c r="F287" s="36">
        <v>20</v>
      </c>
      <c r="G287" s="45">
        <f>VLOOKUP(Tabela25[[#This Row],[CÓDIGO]],'[1]Estrutura Loja'!$B$3:$M$2941,5,0)</f>
        <v>19.148478489208635</v>
      </c>
      <c r="H287" s="45">
        <f t="shared" si="4"/>
        <v>-0.14847848920863527</v>
      </c>
      <c r="I287" s="44">
        <v>19</v>
      </c>
      <c r="J28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0.19782752526315781</v>
      </c>
      <c r="K287" s="23">
        <f>Tabela25[[#This Row],[PREÇO PRATICADO]]*Tabela25[[#This Row],[LUCRO REAL %]]</f>
        <v>3.7587229799999982</v>
      </c>
      <c r="L287" s="57"/>
      <c r="M287" s="54">
        <f>IF(Tabela25[[#This Row],[QUANT. VENDA]]=0,0,((Tabela25[[#This Row],[CUSTO]]*Tabela25[[#This Row],[QUANT. VENDA]])/(Tabela25[[#This Row],[QUANT. VENDA]]*Tabela25[[#This Row],[PREÇO PRATICADO]])))</f>
        <v>0</v>
      </c>
      <c r="N287" s="39">
        <f>VLOOKUP(Tabela25[[#This Row],[CÓDIGO]],'[1]Estrutura Loja'!$B$3:$E$1825,4,0)</f>
        <v>5.3232770200000008</v>
      </c>
      <c r="O287" s="48">
        <f>Tabela25[[#This Row],[QUANT. VENDA]]*Tabela25[[#This Row],[PREÇO PRATICADO]]</f>
        <v>0</v>
      </c>
      <c r="P287" s="48">
        <f>Tabela25[[#This Row],[QUANT. VENDA]]*Tabela25[[#This Row],[CUSTO]]</f>
        <v>0</v>
      </c>
      <c r="Q287" s="55">
        <f>Tabela25[[#This Row],[CUSTO]]/Tabela25[[#This Row],[PREÇO PRATICADO]]</f>
        <v>0.28017247473684215</v>
      </c>
    </row>
    <row r="288" spans="1:17" x14ac:dyDescent="0.3">
      <c r="A288" s="42">
        <v>100500018</v>
      </c>
      <c r="B288" s="28">
        <v>1005</v>
      </c>
      <c r="C288" s="28" t="str">
        <f>VLOOKUP(Tabela25[[#This Row],[GRUPO]],[1]Produto!H92:I420,2,0)</f>
        <v>MS Trad. 500ml</v>
      </c>
      <c r="D288" s="43" t="s">
        <v>313</v>
      </c>
      <c r="E288" s="36">
        <v>19</v>
      </c>
      <c r="F288" s="36">
        <v>20</v>
      </c>
      <c r="G288" s="21">
        <f>VLOOKUP(Tabela25[[#This Row],[CÓDIGO]],'[1]Estrutura Loja'!$B$3:$M$2941,5,0)</f>
        <v>19.54977345323741</v>
      </c>
      <c r="H288" s="45">
        <f t="shared" si="4"/>
        <v>-0.54977345323741034</v>
      </c>
      <c r="I288" s="44">
        <v>19</v>
      </c>
      <c r="J28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0.19195594631578938</v>
      </c>
      <c r="K288" s="46">
        <f>Tabela25[[#This Row],[PREÇO PRATICADO]]*Tabela25[[#This Row],[LUCRO REAL %]]</f>
        <v>3.6471629799999983</v>
      </c>
      <c r="L288" s="24"/>
      <c r="M288" s="54">
        <f>IF(Tabela25[[#This Row],[QUANT. VENDA]]=0,0,((Tabela25[[#This Row],[CUSTO]]*Tabela25[[#This Row],[QUANT. VENDA]])/(Tabela25[[#This Row],[QUANT. VENDA]]*Tabela25[[#This Row],[PREÇO PRATICADO]])))</f>
        <v>0</v>
      </c>
      <c r="N288" s="48">
        <f>VLOOKUP(Tabela25[[#This Row],[CÓDIGO]],'[1]Estrutura Loja'!$B$3:$E$1825,4,0)</f>
        <v>5.4348370200000007</v>
      </c>
      <c r="O288" s="48">
        <f>Tabela25[[#This Row],[QUANT. VENDA]]*Tabela25[[#This Row],[PREÇO PRATICADO]]</f>
        <v>0</v>
      </c>
      <c r="P288" s="48">
        <f>Tabela25[[#This Row],[QUANT. VENDA]]*Tabela25[[#This Row],[CUSTO]]</f>
        <v>0</v>
      </c>
      <c r="Q288" s="49">
        <f>Tabela25[[#This Row],[CUSTO]]/Tabela25[[#This Row],[PREÇO PRATICADO]]</f>
        <v>0.28604405368421054</v>
      </c>
    </row>
    <row r="289" spans="1:17" x14ac:dyDescent="0.3">
      <c r="A289" s="42">
        <v>100500032</v>
      </c>
      <c r="B289" s="28">
        <v>1005</v>
      </c>
      <c r="C289" s="28" t="str">
        <f>VLOOKUP(Tabela25[[#This Row],[GRUPO]],[1]Produto!H100:I426,2,0)</f>
        <v>MS Trad. 500ml</v>
      </c>
      <c r="D289" s="43" t="s">
        <v>314</v>
      </c>
      <c r="E289" s="36">
        <v>19</v>
      </c>
      <c r="F289" s="36">
        <v>20</v>
      </c>
      <c r="G289" s="21">
        <f>VLOOKUP(Tabela25[[#This Row],[CÓDIGO]],'[1]Estrutura Loja'!$B$3:$M$2941,5,0)</f>
        <v>19.470477461459406</v>
      </c>
      <c r="H289" s="45">
        <f t="shared" si="4"/>
        <v>-0.4704774614594065</v>
      </c>
      <c r="I289" s="44">
        <v>19</v>
      </c>
      <c r="J28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0.19311617187969912</v>
      </c>
      <c r="K289" s="46">
        <f>Tabela25[[#This Row],[PREÇO PRATICADO]]*Tabela25[[#This Row],[LUCRO REAL %]]</f>
        <v>3.6692072657142831</v>
      </c>
      <c r="L289" s="24"/>
      <c r="M289" s="54">
        <f>IF(Tabela25[[#This Row],[QUANT. VENDA]]=0,0,((Tabela25[[#This Row],[CUSTO]]*Tabela25[[#This Row],[QUANT. VENDA]])/(Tabela25[[#This Row],[QUANT. VENDA]]*Tabela25[[#This Row],[PREÇO PRATICADO]])))</f>
        <v>0</v>
      </c>
      <c r="N289" s="48">
        <f>VLOOKUP(Tabela25[[#This Row],[CÓDIGO]],'[1]Estrutura Loja'!$B$3:$E$1825,4,0)</f>
        <v>5.4127927342857154</v>
      </c>
      <c r="O289" s="48">
        <f>Tabela25[[#This Row],[QUANT. VENDA]]*Tabela25[[#This Row],[PREÇO PRATICADO]]</f>
        <v>0</v>
      </c>
      <c r="P289" s="48">
        <f>Tabela25[[#This Row],[QUANT. VENDA]]*Tabela25[[#This Row],[CUSTO]]</f>
        <v>0</v>
      </c>
      <c r="Q289" s="49">
        <f>Tabela25[[#This Row],[CUSTO]]/Tabela25[[#This Row],[PREÇO PRATICADO]]</f>
        <v>0.28488382812030083</v>
      </c>
    </row>
    <row r="290" spans="1:17" x14ac:dyDescent="0.3">
      <c r="A290" s="42">
        <v>100500035</v>
      </c>
      <c r="B290" s="28">
        <v>1005</v>
      </c>
      <c r="C290" s="28" t="str">
        <f>VLOOKUP(Tabela25[[#This Row],[GRUPO]],[1]Produto!H103:I429,2,0)</f>
        <v>MS Trad. 500ml</v>
      </c>
      <c r="D290" s="43" t="s">
        <v>315</v>
      </c>
      <c r="E290" s="36">
        <v>19</v>
      </c>
      <c r="F290" s="36">
        <v>20</v>
      </c>
      <c r="G290" s="21">
        <f>VLOOKUP(Tabela25[[#This Row],[CÓDIGO]],'[1]Estrutura Loja'!$B$3:$M$2941,5,0)</f>
        <v>22.061792980472763</v>
      </c>
      <c r="H290" s="45">
        <f t="shared" si="4"/>
        <v>-3.061792980472763</v>
      </c>
      <c r="I290" s="44">
        <v>19</v>
      </c>
      <c r="J29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0.15520113428571422</v>
      </c>
      <c r="K290" s="46">
        <f>Tabela25[[#This Row],[PREÇO PRATICADO]]*Tabela25[[#This Row],[LUCRO REAL %]]</f>
        <v>2.9488215514285701</v>
      </c>
      <c r="L290" s="24"/>
      <c r="M290" s="54">
        <f>IF(Tabela25[[#This Row],[QUANT. VENDA]]=0,0,((Tabela25[[#This Row],[CUSTO]]*Tabela25[[#This Row],[QUANT. VENDA]])/(Tabela25[[#This Row],[QUANT. VENDA]]*Tabela25[[#This Row],[PREÇO PRATICADO]])))</f>
        <v>0</v>
      </c>
      <c r="N290" s="48">
        <f>VLOOKUP(Tabela25[[#This Row],[CÓDIGO]],'[1]Estrutura Loja'!$B$3:$E$1825,4,0)</f>
        <v>6.1331784485714289</v>
      </c>
      <c r="O290" s="48">
        <f>Tabela25[[#This Row],[QUANT. VENDA]]*Tabela25[[#This Row],[PREÇO PRATICADO]]</f>
        <v>0</v>
      </c>
      <c r="P290" s="48">
        <f>Tabela25[[#This Row],[QUANT. VENDA]]*Tabela25[[#This Row],[CUSTO]]</f>
        <v>0</v>
      </c>
      <c r="Q290" s="49">
        <f>Tabela25[[#This Row],[CUSTO]]/Tabela25[[#This Row],[PREÇO PRATICADO]]</f>
        <v>0.32279886571428573</v>
      </c>
    </row>
    <row r="291" spans="1:17" x14ac:dyDescent="0.3">
      <c r="A291" s="42">
        <v>100500046</v>
      </c>
      <c r="B291" s="28">
        <v>1005</v>
      </c>
      <c r="C291" s="28" t="str">
        <f>VLOOKUP(Tabela25[[#This Row],[GRUPO]],[1]Produto!H100:I428,2,0)</f>
        <v>MS Trad. 500ml</v>
      </c>
      <c r="D291" s="43" t="s">
        <v>316</v>
      </c>
      <c r="E291" s="36">
        <v>19</v>
      </c>
      <c r="F291" s="36">
        <v>20</v>
      </c>
      <c r="G291" s="21">
        <f>VLOOKUP(Tabela25[[#This Row],[CÓDIGO]],'[1]Estrutura Loja'!$B$3:$M$2941,5,0)</f>
        <v>18.641898003597124</v>
      </c>
      <c r="H291" s="45">
        <f t="shared" si="4"/>
        <v>0.35810199640287621</v>
      </c>
      <c r="I291" s="44">
        <v>19</v>
      </c>
      <c r="J29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0.20523959763157884</v>
      </c>
      <c r="K291" s="46">
        <f>Tabela25[[#This Row],[PREÇO PRATICADO]]*Tabela25[[#This Row],[LUCRO REAL %]]</f>
        <v>3.8995523549999982</v>
      </c>
      <c r="L291" s="24"/>
      <c r="M291" s="54">
        <f>IF(Tabela25[[#This Row],[QUANT. VENDA]]=0,0,((Tabela25[[#This Row],[CUSTO]]*Tabela25[[#This Row],[QUANT. VENDA]])/(Tabela25[[#This Row],[QUANT. VENDA]]*Tabela25[[#This Row],[PREÇO PRATICADO]])))</f>
        <v>0</v>
      </c>
      <c r="N291" s="48">
        <f>VLOOKUP(Tabela25[[#This Row],[CÓDIGO]],'[1]Estrutura Loja'!$B$3:$E$1825,4,0)</f>
        <v>5.1824476450000008</v>
      </c>
      <c r="O291" s="48">
        <f>Tabela25[[#This Row],[QUANT. VENDA]]*Tabela25[[#This Row],[PREÇO PRATICADO]]</f>
        <v>0</v>
      </c>
      <c r="P291" s="48">
        <f>Tabela25[[#This Row],[QUANT. VENDA]]*Tabela25[[#This Row],[CUSTO]]</f>
        <v>0</v>
      </c>
      <c r="Q291" s="49">
        <f>Tabela25[[#This Row],[CUSTO]]/Tabela25[[#This Row],[PREÇO PRATICADO]]</f>
        <v>0.27276040236842108</v>
      </c>
    </row>
    <row r="292" spans="1:17" x14ac:dyDescent="0.3">
      <c r="A292" s="66">
        <v>100500062</v>
      </c>
      <c r="B292" s="28">
        <v>1005</v>
      </c>
      <c r="C292" s="28" t="str">
        <f>VLOOKUP(Tabela25[[#This Row],[GRUPO]],[1]Produto!H115:I439,2,0)</f>
        <v>MS Trad. 500ml</v>
      </c>
      <c r="D292" s="51" t="s">
        <v>317</v>
      </c>
      <c r="E292" s="36">
        <v>19</v>
      </c>
      <c r="F292" s="36">
        <v>20</v>
      </c>
      <c r="G292" s="37">
        <f>VLOOKUP(Tabela25[[#This Row],[CÓDIGO]],'[1]Estrutura Loja'!$B$3:$M$2941,5,0)</f>
        <v>19.741032446043167</v>
      </c>
      <c r="H292" s="37">
        <f t="shared" si="4"/>
        <v>-0.74103244604316743</v>
      </c>
      <c r="I292" s="36">
        <v>19</v>
      </c>
      <c r="J292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0.18915752526315777</v>
      </c>
      <c r="K292" s="53">
        <f>Tabela25[[#This Row],[PREÇO PRATICADO]]*Tabela25[[#This Row],[LUCRO REAL %]]</f>
        <v>3.5939929799999977</v>
      </c>
      <c r="L292" s="38"/>
      <c r="M292" s="67">
        <f>IF(Tabela25[[#This Row],[QUANT. VENDA]]=0,0,((Tabela25[[#This Row],[CUSTO]]*Tabela25[[#This Row],[QUANT. VENDA]])/(Tabela25[[#This Row],[QUANT. VENDA]]*Tabela25[[#This Row],[PREÇO PRATICADO]])))</f>
        <v>0</v>
      </c>
      <c r="N292" s="39">
        <f>VLOOKUP(Tabela25[[#This Row],[CÓDIGO]],'[1]Estrutura Loja'!$B$3:$E$1825,4,0)</f>
        <v>5.4880070200000013</v>
      </c>
      <c r="O292" s="39">
        <f>Tabela25[[#This Row],[QUANT. VENDA]]*Tabela25[[#This Row],[PREÇO PRATICADO]]</f>
        <v>0</v>
      </c>
      <c r="P292" s="39">
        <f>Tabela25[[#This Row],[QUANT. VENDA]]*Tabela25[[#This Row],[CUSTO]]</f>
        <v>0</v>
      </c>
      <c r="Q292" s="55">
        <f>Tabela25[[#This Row],[CUSTO]]/Tabela25[[#This Row],[PREÇO PRATICADO]]</f>
        <v>0.28884247473684216</v>
      </c>
    </row>
    <row r="293" spans="1:17" x14ac:dyDescent="0.3">
      <c r="A293" s="42">
        <v>100500045</v>
      </c>
      <c r="B293" s="28">
        <v>1005</v>
      </c>
      <c r="C293" s="28" t="str">
        <f>VLOOKUP(Tabela25[[#This Row],[GRUPO]],[1]Produto!H102:I432,2,0)</f>
        <v>MS Trad. 500ml</v>
      </c>
      <c r="D293" s="43" t="s">
        <v>318</v>
      </c>
      <c r="E293" s="36">
        <v>19</v>
      </c>
      <c r="F293" s="36">
        <v>20</v>
      </c>
      <c r="G293" s="21">
        <f>VLOOKUP(Tabela25[[#This Row],[CÓDIGO]],'[1]Estrutura Loja'!$B$3:$M$2941,5,0)</f>
        <v>22.326335632065774</v>
      </c>
      <c r="H293" s="45">
        <f t="shared" si="4"/>
        <v>-3.3263356320657742</v>
      </c>
      <c r="I293" s="44">
        <v>19</v>
      </c>
      <c r="J29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0.15133045759398489</v>
      </c>
      <c r="K293" s="46">
        <f>Tabela25[[#This Row],[PREÇO PRATICADO]]*Tabela25[[#This Row],[LUCRO REAL %]]</f>
        <v>2.8752786942857131</v>
      </c>
      <c r="L293" s="24"/>
      <c r="M293" s="54">
        <f>IF(Tabela25[[#This Row],[QUANT. VENDA]]=0,0,((Tabela25[[#This Row],[CUSTO]]*Tabela25[[#This Row],[QUANT. VENDA]])/(Tabela25[[#This Row],[QUANT. VENDA]]*Tabela25[[#This Row],[PREÇO PRATICADO]])))</f>
        <v>0</v>
      </c>
      <c r="N293" s="48">
        <f>VLOOKUP(Tabela25[[#This Row],[CÓDIGO]],'[1]Estrutura Loja'!$B$3:$E$1825,4,0)</f>
        <v>6.2067213057142858</v>
      </c>
      <c r="O293" s="48">
        <f>Tabela25[[#This Row],[QUANT. VENDA]]*Tabela25[[#This Row],[PREÇO PRATICADO]]</f>
        <v>0</v>
      </c>
      <c r="P293" s="48">
        <f>Tabela25[[#This Row],[QUANT. VENDA]]*Tabela25[[#This Row],[CUSTO]]</f>
        <v>0</v>
      </c>
      <c r="Q293" s="49">
        <f>Tabela25[[#This Row],[CUSTO]]/Tabela25[[#This Row],[PREÇO PRATICADO]]</f>
        <v>0.32666954240601503</v>
      </c>
    </row>
    <row r="294" spans="1:17" x14ac:dyDescent="0.3">
      <c r="A294" s="42">
        <v>101500001</v>
      </c>
      <c r="B294" s="28">
        <v>1015</v>
      </c>
      <c r="C294" s="28" t="str">
        <f>VLOOKUP(Tabela25[[#This Row],[GRUPO]],[1]Produto!H162:I526,2,0)</f>
        <v>Petit Gateau</v>
      </c>
      <c r="D294" s="43" t="s">
        <v>319</v>
      </c>
      <c r="E294" s="44">
        <v>26</v>
      </c>
      <c r="F294" s="44">
        <v>29</v>
      </c>
      <c r="G294" s="21">
        <f>VLOOKUP(Tabela25[[#This Row],[CÓDIGO]],'[1]Estrutura Loja'!$B$3:$M$2941,5,0)</f>
        <v>29.766818525179861</v>
      </c>
      <c r="H294" s="45">
        <f t="shared" si="4"/>
        <v>-3.7668185251798612</v>
      </c>
      <c r="I294" s="44">
        <v>29</v>
      </c>
      <c r="J29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0.19264911896551717</v>
      </c>
      <c r="K294" s="46">
        <f>Tabela25[[#This Row],[PREÇO PRATICADO]]*Tabela25[[#This Row],[LUCRO REAL %]]</f>
        <v>5.5868244499999982</v>
      </c>
      <c r="L294" s="24"/>
      <c r="M294" s="54">
        <f>IF(Tabela25[[#This Row],[QUANT. VENDA]]=0,0,((Tabela25[[#This Row],[CUSTO]]*Tabela25[[#This Row],[QUANT. VENDA]])/(Tabela25[[#This Row],[QUANT. VENDA]]*Tabela25[[#This Row],[PREÇO PRATICADO]])))</f>
        <v>0</v>
      </c>
      <c r="N294" s="48">
        <f>VLOOKUP(Tabela25[[#This Row],[CÓDIGO]],'[1]Estrutura Loja'!$B$3:$E$1825,4,0)</f>
        <v>8.2751755500000019</v>
      </c>
      <c r="O294" s="48">
        <f>Tabela25[[#This Row],[QUANT. VENDA]]*Tabela25[[#This Row],[PREÇO PRATICADO]]</f>
        <v>0</v>
      </c>
      <c r="P294" s="48">
        <f>Tabela25[[#This Row],[QUANT. VENDA]]*Tabela25[[#This Row],[CUSTO]]</f>
        <v>0</v>
      </c>
      <c r="Q294" s="49">
        <f>Tabela25[[#This Row],[CUSTO]]/Tabela25[[#This Row],[PREÇO PRATICADO]]</f>
        <v>0.28535088103448281</v>
      </c>
    </row>
    <row r="295" spans="1:17" ht="15" customHeight="1" x14ac:dyDescent="0.3">
      <c r="A295" s="42">
        <v>101500002</v>
      </c>
      <c r="B295" s="28">
        <v>1015</v>
      </c>
      <c r="C295" s="28" t="str">
        <f>VLOOKUP(Tabela25[[#This Row],[GRUPO]],[1]Produto!H163:I527,2,0)</f>
        <v>Petit Gateau</v>
      </c>
      <c r="D295" s="43" t="s">
        <v>320</v>
      </c>
      <c r="E295" s="44">
        <v>25</v>
      </c>
      <c r="F295" s="44">
        <v>27</v>
      </c>
      <c r="G295" s="21">
        <f>VLOOKUP(Tabela25[[#This Row],[CÓDIGO]],'[1]Estrutura Loja'!$B$3:$M$2941,5,0)</f>
        <v>24.462789748201438</v>
      </c>
      <c r="H295" s="37">
        <f t="shared" si="4"/>
        <v>0.53721025179856241</v>
      </c>
      <c r="I295" s="36">
        <v>25</v>
      </c>
      <c r="J29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0.20597377799999997</v>
      </c>
      <c r="K295" s="53">
        <f>Tabela25[[#This Row],[PREÇO PRATICADO]]*Tabela25[[#This Row],[LUCRO REAL %]]</f>
        <v>5.1493444499999992</v>
      </c>
      <c r="L295" s="24"/>
      <c r="M295" s="54">
        <f>IF(Tabela25[[#This Row],[QUANT. VENDA]]=0,0,((Tabela25[[#This Row],[CUSTO]]*Tabela25[[#This Row],[QUANT. VENDA]])/(Tabela25[[#This Row],[QUANT. VENDA]]*Tabela25[[#This Row],[PREÇO PRATICADO]])))</f>
        <v>0</v>
      </c>
      <c r="N295" s="39">
        <f>VLOOKUP(Tabela25[[#This Row],[CÓDIGO]],'[1]Estrutura Loja'!$B$3:$E$1825,4,0)</f>
        <v>6.8006555500000001</v>
      </c>
      <c r="O295" s="39">
        <f>Tabela25[[#This Row],[QUANT. VENDA]]*Tabela25[[#This Row],[PREÇO PRATICADO]]</f>
        <v>0</v>
      </c>
      <c r="P295" s="39">
        <f>Tabela25[[#This Row],[QUANT. VENDA]]*Tabela25[[#This Row],[CUSTO]]</f>
        <v>0</v>
      </c>
      <c r="Q295" s="55">
        <f>Tabela25[[#This Row],[CUSTO]]/Tabela25[[#This Row],[PREÇO PRATICADO]]</f>
        <v>0.27202622199999998</v>
      </c>
    </row>
    <row r="296" spans="1:17" ht="15" customHeight="1" x14ac:dyDescent="0.3">
      <c r="A296" s="66">
        <v>101500004</v>
      </c>
      <c r="B296" s="28">
        <v>1015</v>
      </c>
      <c r="C296" s="28" t="str">
        <f>VLOOKUP(Tabela25[[#This Row],[GRUPO]],[1]Produto!H165:I529,2,0)</f>
        <v>Petit Gateau</v>
      </c>
      <c r="D296" s="51" t="s">
        <v>96</v>
      </c>
      <c r="E296" s="36">
        <v>24</v>
      </c>
      <c r="F296" s="36">
        <v>25</v>
      </c>
      <c r="G296" s="21">
        <f>VLOOKUP(Tabela25[[#This Row],[CÓDIGO]],'[1]Estrutura Loja'!$B$3:$M$2941,5,0)</f>
        <v>28.549382716049383</v>
      </c>
      <c r="H296" s="37">
        <f t="shared" si="4"/>
        <v>-4.5493827160493829</v>
      </c>
      <c r="I296" s="36">
        <v>28</v>
      </c>
      <c r="J296" s="52">
        <f>(Tabela25[[#This Row],[PREÇO PRATICADO]]-((Tabela25[[#This Row],[PREÇO PRATICADO]])*([1]Informações!$H$6+[1]Informações!$H$19+[1]Informações!$H$20))-Tabela25[[#This Row],[CUSTO]])/Tabela25[[#This Row],[PREÇO PRATICADO]]</f>
        <v>0.18728571428571428</v>
      </c>
      <c r="K296" s="53">
        <f>Tabela25[[#This Row],[PREÇO PRATICADO]]*Tabela25[[#This Row],[LUCRO REAL %]]</f>
        <v>5.2439999999999998</v>
      </c>
      <c r="L296" s="24"/>
      <c r="M296" s="54">
        <f>IF(Tabela25[[#This Row],[QUANT. VENDA]]=0,0,((Tabela25[[#This Row],[CUSTO]]*Tabela25[[#This Row],[QUANT. VENDA]])/(Tabela25[[#This Row],[QUANT. VENDA]]*Tabela25[[#This Row],[PREÇO PRATICADO]])))</f>
        <v>0</v>
      </c>
      <c r="N296" s="39">
        <f>VLOOKUP(Tabela25[[#This Row],[CÓDIGO]],'[1]Estrutura Loja'!$B$3:$E$1825,4,0)</f>
        <v>18.5</v>
      </c>
      <c r="O296" s="39">
        <f>Tabela25[[#This Row],[QUANT. VENDA]]*Tabela25[[#This Row],[PREÇO PRATICADO]]</f>
        <v>0</v>
      </c>
      <c r="P296" s="39">
        <f>Tabela25[[#This Row],[QUANT. VENDA]]*Tabela25[[#This Row],[CUSTO]]</f>
        <v>0</v>
      </c>
      <c r="Q296" s="55">
        <f>Tabela25[[#This Row],[CUSTO]]/Tabela25[[#This Row],[PREÇO PRATICADO]]</f>
        <v>0.6607142857142857</v>
      </c>
    </row>
    <row r="297" spans="1:17" ht="15" customHeight="1" x14ac:dyDescent="0.3">
      <c r="A297" s="66">
        <v>101500005</v>
      </c>
      <c r="B297" s="28">
        <v>1015</v>
      </c>
      <c r="C297" s="28" t="str">
        <f>VLOOKUP(Tabela25[[#This Row],[GRUPO]],[1]Produto!H166:I530,2,0)</f>
        <v>Petit Gateau</v>
      </c>
      <c r="D297" s="51" t="s">
        <v>321</v>
      </c>
      <c r="E297" s="36">
        <v>8</v>
      </c>
      <c r="F297" s="36">
        <v>10</v>
      </c>
      <c r="G297" s="21">
        <f>VLOOKUP(Tabela25[[#This Row],[CÓDIGO]],'[1]Estrutura Loja'!$B$3:$M$2941,5,0)</f>
        <v>7.7546296296296298</v>
      </c>
      <c r="H297" s="37">
        <f t="shared" si="4"/>
        <v>0.24537037037037024</v>
      </c>
      <c r="I297" s="36">
        <v>8</v>
      </c>
      <c r="J297" s="52">
        <f>(Tabela25[[#This Row],[PREÇO PRATICADO]]-((Tabela25[[#This Row],[PREÇO PRATICADO]])*([1]Informações!$H$6+[1]Informações!$H$19+[1]Informações!$H$20))-Tabela25[[#This Row],[CUSTO]])/Tabela25[[#This Row],[PREÇO PRATICADO]]</f>
        <v>0.21987499999999993</v>
      </c>
      <c r="K297" s="53">
        <f>Tabela25[[#This Row],[PREÇO PRATICADO]]*Tabela25[[#This Row],[LUCRO REAL %]]</f>
        <v>1.7589999999999995</v>
      </c>
      <c r="L297" s="24"/>
      <c r="M297" s="54">
        <f>IF(Tabela25[[#This Row],[QUANT. VENDA]]=0,0,((Tabela25[[#This Row],[CUSTO]]*Tabela25[[#This Row],[QUANT. VENDA]])/(Tabela25[[#This Row],[QUANT. VENDA]]*Tabela25[[#This Row],[PREÇO PRATICADO]])))</f>
        <v>0</v>
      </c>
      <c r="N297" s="39">
        <f>VLOOKUP(Tabela25[[#This Row],[CÓDIGO]],'[1]Estrutura Loja'!$B$3:$E$1825,4,0)</f>
        <v>5.0250000000000004</v>
      </c>
      <c r="O297" s="39">
        <f>Tabela25[[#This Row],[QUANT. VENDA]]*Tabela25[[#This Row],[PREÇO PRATICADO]]</f>
        <v>0</v>
      </c>
      <c r="P297" s="39">
        <f>Tabela25[[#This Row],[QUANT. VENDA]]*Tabela25[[#This Row],[CUSTO]]</f>
        <v>0</v>
      </c>
      <c r="Q297" s="55">
        <f>Tabela25[[#This Row],[CUSTO]]/Tabela25[[#This Row],[PREÇO PRATICADO]]</f>
        <v>0.62812500000000004</v>
      </c>
    </row>
    <row r="298" spans="1:17" ht="15" customHeight="1" x14ac:dyDescent="0.3">
      <c r="A298" s="42">
        <v>101700001</v>
      </c>
      <c r="B298" s="28">
        <v>1017</v>
      </c>
      <c r="C298" s="28" t="str">
        <f>VLOOKUP(Tabela25[[#This Row],[GRUPO]],[1]Produto!H166:I532,2,0)</f>
        <v>Pote</v>
      </c>
      <c r="D298" s="43" t="s">
        <v>322</v>
      </c>
      <c r="E298" s="44">
        <v>34</v>
      </c>
      <c r="F298" s="44">
        <v>39</v>
      </c>
      <c r="G298" s="21">
        <f>VLOOKUP(Tabela25[[#This Row],[CÓDIGO]],'[1]Estrutura Loja'!$B$3:$M$2941,5,0)</f>
        <v>50.613941893627953</v>
      </c>
      <c r="H298" s="45">
        <f t="shared" si="4"/>
        <v>-16.613941893627953</v>
      </c>
      <c r="I298" s="44">
        <v>34</v>
      </c>
      <c r="J29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6.4156592752100755E-2</v>
      </c>
      <c r="K298" s="46">
        <f>Tabela25[[#This Row],[PREÇO PRATICADO]]*Tabela25[[#This Row],[LUCRO REAL %]]</f>
        <v>2.1813241535714258</v>
      </c>
      <c r="L298" s="24"/>
      <c r="M298" s="54">
        <f>IF(Tabela25[[#This Row],[QUANT. VENDA]]=0,0,((Tabela25[[#This Row],[CUSTO]]*Tabela25[[#This Row],[QUANT. VENDA]])/(Tabela25[[#This Row],[QUANT. VENDA]]*Tabela25[[#This Row],[PREÇO PRATICADO]])))</f>
        <v>0</v>
      </c>
      <c r="N298" s="48">
        <f>VLOOKUP(Tabela25[[#This Row],[CÓDIGO]],'[1]Estrutura Loja'!$B$3:$E$1825,4,0)</f>
        <v>14.070675846428573</v>
      </c>
      <c r="O298" s="48">
        <f>Tabela25[[#This Row],[QUANT. VENDA]]*Tabela25[[#This Row],[PREÇO PRATICADO]]</f>
        <v>0</v>
      </c>
      <c r="P298" s="48">
        <f>Tabela25[[#This Row],[QUANT. VENDA]]*Tabela25[[#This Row],[CUSTO]]</f>
        <v>0</v>
      </c>
      <c r="Q298" s="49">
        <f>Tabela25[[#This Row],[CUSTO]]/Tabela25[[#This Row],[PREÇO PRATICADO]]</f>
        <v>0.4138434072478992</v>
      </c>
    </row>
    <row r="299" spans="1:17" ht="15" customHeight="1" x14ac:dyDescent="0.3">
      <c r="A299" s="42">
        <v>101700004</v>
      </c>
      <c r="B299" s="28">
        <v>1017</v>
      </c>
      <c r="C299" s="28" t="str">
        <f>VLOOKUP(Tabela25[[#This Row],[GRUPO]],[1]Produto!H166:I530,2,0)</f>
        <v>Pote</v>
      </c>
      <c r="D299" s="43" t="s">
        <v>323</v>
      </c>
      <c r="E299" s="44">
        <v>34</v>
      </c>
      <c r="F299" s="44">
        <v>39</v>
      </c>
      <c r="G299" s="21">
        <f>VLOOKUP(Tabela25[[#This Row],[CÓDIGO]],'[1]Estrutura Loja'!$B$3:$M$2941,5,0)</f>
        <v>50.085691636690655</v>
      </c>
      <c r="H299" s="45">
        <f t="shared" si="4"/>
        <v>-16.085691636690655</v>
      </c>
      <c r="I299" s="44">
        <v>34</v>
      </c>
      <c r="J29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6.8475815441176355E-2</v>
      </c>
      <c r="K299" s="46">
        <f>Tabela25[[#This Row],[PREÇO PRATICADO]]*Tabela25[[#This Row],[LUCRO REAL %]]</f>
        <v>2.3281777249999962</v>
      </c>
      <c r="L299" s="24"/>
      <c r="M299" s="54">
        <f>IF(Tabela25[[#This Row],[QUANT. VENDA]]=0,0,((Tabela25[[#This Row],[CUSTO]]*Tabela25[[#This Row],[QUANT. VENDA]])/(Tabela25[[#This Row],[QUANT. VENDA]]*Tabela25[[#This Row],[PREÇO PRATICADO]])))</f>
        <v>0</v>
      </c>
      <c r="N299" s="48">
        <f>VLOOKUP(Tabela25[[#This Row],[CÓDIGO]],'[1]Estrutura Loja'!$B$3:$E$1825,4,0)</f>
        <v>13.923822275000003</v>
      </c>
      <c r="O299" s="48">
        <f>Tabela25[[#This Row],[QUANT. VENDA]]*Tabela25[[#This Row],[PREÇO PRATICADO]]</f>
        <v>0</v>
      </c>
      <c r="P299" s="48">
        <f>Tabela25[[#This Row],[QUANT. VENDA]]*Tabela25[[#This Row],[CUSTO]]</f>
        <v>0</v>
      </c>
      <c r="Q299" s="49">
        <f>Tabela25[[#This Row],[CUSTO]]/Tabela25[[#This Row],[PREÇO PRATICADO]]</f>
        <v>0.40952418455882361</v>
      </c>
    </row>
    <row r="300" spans="1:17" ht="15" customHeight="1" x14ac:dyDescent="0.3">
      <c r="A300" s="42">
        <v>101700007</v>
      </c>
      <c r="B300" s="34">
        <v>1017</v>
      </c>
      <c r="C300" s="34" t="str">
        <f>VLOOKUP(Tabela25[[#This Row],[GRUPO]],[1]Produto!H163:I527,2,0)</f>
        <v>Pote</v>
      </c>
      <c r="D300" s="51" t="s">
        <v>324</v>
      </c>
      <c r="E300" s="44">
        <v>34</v>
      </c>
      <c r="F300" s="44">
        <v>39</v>
      </c>
      <c r="G300" s="21">
        <f>VLOOKUP(Tabela25[[#This Row],[CÓDIGO]],'[1]Estrutura Loja'!$B$3:$M$2941,5,0)</f>
        <v>37.027353507194242</v>
      </c>
      <c r="H300" s="37">
        <f t="shared" si="4"/>
        <v>-3.0273535071942419</v>
      </c>
      <c r="I300" s="44">
        <v>34</v>
      </c>
      <c r="J30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0.17524693308823527</v>
      </c>
      <c r="K300" s="46">
        <f>Tabela25[[#This Row],[PREÇO PRATICADO]]*Tabela25[[#This Row],[LUCRO REAL %]]</f>
        <v>5.958395724999999</v>
      </c>
      <c r="L300" s="24"/>
      <c r="M300" s="54">
        <f>IF(Tabela25[[#This Row],[QUANT. VENDA]]=0,0,((Tabela25[[#This Row],[CUSTO]]*Tabela25[[#This Row],[QUANT. VENDA]])/(Tabela25[[#This Row],[QUANT. VENDA]]*Tabela25[[#This Row],[PREÇO PRATICADO]])))</f>
        <v>0</v>
      </c>
      <c r="N300" s="39">
        <f>VLOOKUP(Tabela25[[#This Row],[CÓDIGO]],'[1]Estrutura Loja'!$B$3:$E$1825,4,0)</f>
        <v>10.293604275</v>
      </c>
      <c r="O300" s="39">
        <f>Tabela25[[#This Row],[QUANT. VENDA]]*Tabela25[[#This Row],[PREÇO PRATICADO]]</f>
        <v>0</v>
      </c>
      <c r="P300" s="39">
        <f>Tabela25[[#This Row],[QUANT. VENDA]]*Tabela25[[#This Row],[CUSTO]]</f>
        <v>0</v>
      </c>
      <c r="Q300" s="49">
        <f>Tabela25[[#This Row],[CUSTO]]/Tabela25[[#This Row],[PREÇO PRATICADO]]</f>
        <v>0.30275306691176468</v>
      </c>
    </row>
    <row r="301" spans="1:17" ht="15" customHeight="1" x14ac:dyDescent="0.3">
      <c r="A301" s="42">
        <v>101700008</v>
      </c>
      <c r="B301" s="34">
        <v>1017</v>
      </c>
      <c r="C301" s="34" t="str">
        <f>VLOOKUP(Tabela25[[#This Row],[GRUPO]],[1]Produto!H164:I528,2,0)</f>
        <v>Pote</v>
      </c>
      <c r="D301" s="43" t="s">
        <v>325</v>
      </c>
      <c r="E301" s="44">
        <v>34</v>
      </c>
      <c r="F301" s="44">
        <v>39</v>
      </c>
      <c r="G301" s="21">
        <f>VLOOKUP(Tabela25[[#This Row],[CÓDIGO]],'[1]Estrutura Loja'!$B$3:$M$2941,5,0)</f>
        <v>39.971470413669067</v>
      </c>
      <c r="H301" s="37">
        <f t="shared" si="4"/>
        <v>-5.9714704136690671</v>
      </c>
      <c r="I301" s="44">
        <v>34</v>
      </c>
      <c r="J30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0.15117444779411759</v>
      </c>
      <c r="K301" s="46">
        <f>Tabela25[[#This Row],[PREÇO PRATICADO]]*Tabela25[[#This Row],[LUCRO REAL %]]</f>
        <v>5.139931224999998</v>
      </c>
      <c r="L301" s="24"/>
      <c r="M301" s="54">
        <f>IF(Tabela25[[#This Row],[QUANT. VENDA]]=0,0,((Tabela25[[#This Row],[CUSTO]]*Tabela25[[#This Row],[QUANT. VENDA]])/(Tabela25[[#This Row],[QUANT. VENDA]]*Tabela25[[#This Row],[PREÇO PRATICADO]])))</f>
        <v>0</v>
      </c>
      <c r="N301" s="39">
        <f>VLOOKUP(Tabela25[[#This Row],[CÓDIGO]],'[1]Estrutura Loja'!$B$3:$E$1825,4,0)</f>
        <v>11.112068775000001</v>
      </c>
      <c r="O301" s="39">
        <f>Tabela25[[#This Row],[QUANT. VENDA]]*Tabela25[[#This Row],[PREÇO PRATICADO]]</f>
        <v>0</v>
      </c>
      <c r="P301" s="39">
        <f>Tabela25[[#This Row],[QUANT. VENDA]]*Tabela25[[#This Row],[CUSTO]]</f>
        <v>0</v>
      </c>
      <c r="Q301" s="49">
        <f>Tabela25[[#This Row],[CUSTO]]/Tabela25[[#This Row],[PREÇO PRATICADO]]</f>
        <v>0.32682555220588239</v>
      </c>
    </row>
    <row r="302" spans="1:17" ht="15" customHeight="1" x14ac:dyDescent="0.3">
      <c r="A302" s="42">
        <v>101700009</v>
      </c>
      <c r="B302" s="34">
        <v>1017</v>
      </c>
      <c r="C302" s="34" t="str">
        <f>VLOOKUP(Tabela25[[#This Row],[GRUPO]],[1]Produto!H166:I533,2,0)</f>
        <v>Pote</v>
      </c>
      <c r="D302" s="43" t="s">
        <v>326</v>
      </c>
      <c r="E302" s="44">
        <v>34</v>
      </c>
      <c r="F302" s="44">
        <v>39</v>
      </c>
      <c r="G302" s="21">
        <f>VLOOKUP(Tabela25[[#This Row],[CÓDIGO]],'[1]Estrutura Loja'!$B$3:$M$2941,5,0)</f>
        <v>39.971470413669067</v>
      </c>
      <c r="H302" s="37">
        <f t="shared" si="4"/>
        <v>-5.9714704136690671</v>
      </c>
      <c r="I302" s="44">
        <v>34</v>
      </c>
      <c r="J30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0.15117444779411759</v>
      </c>
      <c r="K302" s="46">
        <f>Tabela25[[#This Row],[PREÇO PRATICADO]]*Tabela25[[#This Row],[LUCRO REAL %]]</f>
        <v>5.139931224999998</v>
      </c>
      <c r="L302" s="24"/>
      <c r="M302" s="54">
        <f>IF(Tabela25[[#This Row],[QUANT. VENDA]]=0,0,((Tabela25[[#This Row],[CUSTO]]*Tabela25[[#This Row],[QUANT. VENDA]])/(Tabela25[[#This Row],[QUANT. VENDA]]*Tabela25[[#This Row],[PREÇO PRATICADO]])))</f>
        <v>0</v>
      </c>
      <c r="N302" s="39">
        <f>VLOOKUP(Tabela25[[#This Row],[CÓDIGO]],'[1]Estrutura Loja'!$B$3:$E$1825,4,0)</f>
        <v>11.112068775000001</v>
      </c>
      <c r="O302" s="39">
        <f>Tabela25[[#This Row],[QUANT. VENDA]]*Tabela25[[#This Row],[PREÇO PRATICADO]]</f>
        <v>0</v>
      </c>
      <c r="P302" s="39">
        <f>Tabela25[[#This Row],[QUANT. VENDA]]*Tabela25[[#This Row],[CUSTO]]</f>
        <v>0</v>
      </c>
      <c r="Q302" s="49">
        <f>Tabela25[[#This Row],[CUSTO]]/Tabela25[[#This Row],[PREÇO PRATICADO]]</f>
        <v>0.32682555220588239</v>
      </c>
    </row>
    <row r="303" spans="1:17" ht="15" customHeight="1" x14ac:dyDescent="0.3">
      <c r="A303" s="42">
        <v>101700003</v>
      </c>
      <c r="B303" s="28">
        <v>1017</v>
      </c>
      <c r="C303" s="28" t="str">
        <f>VLOOKUP(Tabela25[[#This Row],[GRUPO]],[1]Produto!H166:I531,2,0)</f>
        <v>Pote</v>
      </c>
      <c r="D303" s="43" t="s">
        <v>327</v>
      </c>
      <c r="E303" s="36">
        <v>41</v>
      </c>
      <c r="F303" s="36">
        <v>48</v>
      </c>
      <c r="G303" s="21">
        <f>VLOOKUP(Tabela25[[#This Row],[CÓDIGO]],'[1]Estrutura Loja'!$B$3:$M$2941,5,0)</f>
        <v>54.533983003597129</v>
      </c>
      <c r="H303" s="45">
        <f t="shared" si="4"/>
        <v>-13.533983003597129</v>
      </c>
      <c r="I303" s="36">
        <v>41</v>
      </c>
      <c r="J30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0.10823299329268284</v>
      </c>
      <c r="K303" s="46">
        <f>Tabela25[[#This Row],[PREÇO PRATICADO]]*Tabela25[[#This Row],[LUCRO REAL %]]</f>
        <v>4.4375527249999962</v>
      </c>
      <c r="L303" s="24"/>
      <c r="M303" s="54">
        <f>IF(Tabela25[[#This Row],[QUANT. VENDA]]=0,0,((Tabela25[[#This Row],[CUSTO]]*Tabela25[[#This Row],[QUANT. VENDA]])/(Tabela25[[#This Row],[QUANT. VENDA]]*Tabela25[[#This Row],[PREÇO PRATICADO]])))</f>
        <v>0</v>
      </c>
      <c r="N303" s="48">
        <f>VLOOKUP(Tabela25[[#This Row],[CÓDIGO]],'[1]Estrutura Loja'!$B$3:$E$1825,4,0)</f>
        <v>15.160447275000003</v>
      </c>
      <c r="O303" s="48">
        <f>Tabela25[[#This Row],[QUANT. VENDA]]*Tabela25[[#This Row],[PREÇO PRATICADO]]</f>
        <v>0</v>
      </c>
      <c r="P303" s="48">
        <f>Tabela25[[#This Row],[QUANT. VENDA]]*Tabela25[[#This Row],[CUSTO]]</f>
        <v>0</v>
      </c>
      <c r="Q303" s="49">
        <f>Tabela25[[#This Row],[CUSTO]]/Tabela25[[#This Row],[PREÇO PRATICADO]]</f>
        <v>0.36976700670731716</v>
      </c>
    </row>
    <row r="304" spans="1:17" ht="15" customHeight="1" x14ac:dyDescent="0.3">
      <c r="A304" s="42">
        <v>101700005</v>
      </c>
      <c r="B304" s="28">
        <v>1017</v>
      </c>
      <c r="C304" s="28" t="str">
        <f>VLOOKUP(Tabela25[[#This Row],[GRUPO]],[1]Produto!H165:I529,2,0)</f>
        <v>Pote</v>
      </c>
      <c r="D304" s="43" t="s">
        <v>328</v>
      </c>
      <c r="E304" s="36">
        <v>41</v>
      </c>
      <c r="F304" s="36">
        <v>48</v>
      </c>
      <c r="G304" s="21">
        <f>VLOOKUP(Tabela25[[#This Row],[CÓDIGO]],'[1]Estrutura Loja'!$B$3:$M$2941,5,0)</f>
        <v>52.781234236896189</v>
      </c>
      <c r="H304" s="45">
        <f t="shared" si="4"/>
        <v>-11.781234236896189</v>
      </c>
      <c r="I304" s="36">
        <v>41</v>
      </c>
      <c r="J30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0.12011748493031357</v>
      </c>
      <c r="K304" s="46">
        <f>Tabela25[[#This Row],[PREÇO PRATICADO]]*Tabela25[[#This Row],[LUCRO REAL %]]</f>
        <v>4.9248168821428564</v>
      </c>
      <c r="L304" s="24"/>
      <c r="M304" s="54">
        <f>IF(Tabela25[[#This Row],[QUANT. VENDA]]=0,0,((Tabela25[[#This Row],[CUSTO]]*Tabela25[[#This Row],[QUANT. VENDA]])/(Tabela25[[#This Row],[QUANT. VENDA]]*Tabela25[[#This Row],[PREÇO PRATICADO]])))</f>
        <v>0</v>
      </c>
      <c r="N304" s="48">
        <f>VLOOKUP(Tabela25[[#This Row],[CÓDIGO]],'[1]Estrutura Loja'!$B$3:$E$1825,4,0)</f>
        <v>14.673183117857143</v>
      </c>
      <c r="O304" s="48">
        <f>Tabela25[[#This Row],[QUANT. VENDA]]*Tabela25[[#This Row],[PREÇO PRATICADO]]</f>
        <v>0</v>
      </c>
      <c r="P304" s="48">
        <f>Tabela25[[#This Row],[QUANT. VENDA]]*Tabela25[[#This Row],[CUSTO]]</f>
        <v>0</v>
      </c>
      <c r="Q304" s="49">
        <f>Tabela25[[#This Row],[CUSTO]]/Tabela25[[#This Row],[PREÇO PRATICADO]]</f>
        <v>0.35788251506968638</v>
      </c>
    </row>
    <row r="305" spans="1:19" ht="15" customHeight="1" x14ac:dyDescent="0.3">
      <c r="A305" s="42">
        <v>101700006</v>
      </c>
      <c r="B305" s="28">
        <v>1017</v>
      </c>
      <c r="C305" s="28" t="str">
        <f>VLOOKUP(Tabela25[[#This Row],[GRUPO]],[1]Produto!H167:I534,2,0)</f>
        <v>Pote</v>
      </c>
      <c r="D305" s="43" t="s">
        <v>329</v>
      </c>
      <c r="E305" s="36">
        <v>41</v>
      </c>
      <c r="F305" s="36">
        <v>48</v>
      </c>
      <c r="G305" s="21">
        <f>VLOOKUP(Tabela25[[#This Row],[CÓDIGO]],'[1]Estrutura Loja'!$B$3:$M$2941,5,0)</f>
        <v>52.890611986125386</v>
      </c>
      <c r="H305" s="45">
        <f t="shared" si="4"/>
        <v>-11.890611986125386</v>
      </c>
      <c r="I305" s="36">
        <v>41</v>
      </c>
      <c r="J30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0.11937585043554001</v>
      </c>
      <c r="K305" s="46">
        <f>Tabela25[[#This Row],[PREÇO PRATICADO]]*Tabela25[[#This Row],[LUCRO REAL %]]</f>
        <v>4.8944098678571404</v>
      </c>
      <c r="L305" s="24"/>
      <c r="M305" s="54">
        <f>IF(Tabela25[[#This Row],[QUANT. VENDA]]=0,0,((Tabela25[[#This Row],[CUSTO]]*Tabela25[[#This Row],[QUANT. VENDA]])/(Tabela25[[#This Row],[QUANT. VENDA]]*Tabela25[[#This Row],[PREÇO PRATICADO]])))</f>
        <v>0</v>
      </c>
      <c r="N305" s="48">
        <f>VLOOKUP(Tabela25[[#This Row],[CÓDIGO]],'[1]Estrutura Loja'!$B$3:$E$1825,4,0)</f>
        <v>14.703590132142859</v>
      </c>
      <c r="O305" s="48">
        <f>Tabela25[[#This Row],[QUANT. VENDA]]*Tabela25[[#This Row],[PREÇO PRATICADO]]</f>
        <v>0</v>
      </c>
      <c r="P305" s="48">
        <f>Tabela25[[#This Row],[QUANT. VENDA]]*Tabela25[[#This Row],[CUSTO]]</f>
        <v>0</v>
      </c>
      <c r="Q305" s="49">
        <f>Tabela25[[#This Row],[CUSTO]]/Tabela25[[#This Row],[PREÇO PRATICADO]]</f>
        <v>0.35862414956445998</v>
      </c>
    </row>
    <row r="306" spans="1:19" ht="15" customHeight="1" x14ac:dyDescent="0.3">
      <c r="A306" s="66">
        <v>101700011</v>
      </c>
      <c r="B306" s="34">
        <v>1017</v>
      </c>
      <c r="C306" s="28" t="str">
        <f>VLOOKUP(Tabela25[[#This Row],[GRUPO]],[1]Produto!H167:I532,2,0)</f>
        <v>Pote</v>
      </c>
      <c r="D306" s="51" t="s">
        <v>330</v>
      </c>
      <c r="E306" s="36">
        <v>41</v>
      </c>
      <c r="F306" s="36">
        <v>48</v>
      </c>
      <c r="G306" s="21">
        <f>VLOOKUP(Tabela25[[#This Row],[CÓDIGO]],'[1]Estrutura Loja'!$B$3:$M$2941,5,0)</f>
        <v>63.092607104316535</v>
      </c>
      <c r="H306" s="37">
        <f t="shared" si="4"/>
        <v>-22.092607104316535</v>
      </c>
      <c r="I306" s="36">
        <v>41</v>
      </c>
      <c r="J30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5.0201346951219507E-2</v>
      </c>
      <c r="K306" s="53">
        <f>Tabela25[[#This Row],[PREÇO PRATICADO]]*Tabela25[[#This Row],[LUCRO REAL %]]</f>
        <v>2.0582552249999999</v>
      </c>
      <c r="L306" s="24"/>
      <c r="M306" s="54">
        <f>IF(Tabela25[[#This Row],[QUANT. VENDA]]=0,0,((Tabela25[[#This Row],[CUSTO]]*Tabela25[[#This Row],[QUANT. VENDA]])/(Tabela25[[#This Row],[QUANT. VENDA]]*Tabela25[[#This Row],[PREÇO PRATICADO]])))</f>
        <v>0</v>
      </c>
      <c r="N306" s="39">
        <f>VLOOKUP(Tabela25[[#This Row],[CÓDIGO]],'[1]Estrutura Loja'!$B$3:$E$1825,4,0)</f>
        <v>17.539744774999999</v>
      </c>
      <c r="O306" s="39">
        <f>Tabela25[[#This Row],[QUANT. VENDA]]*Tabela25[[#This Row],[PREÇO PRATICADO]]</f>
        <v>0</v>
      </c>
      <c r="P306" s="39">
        <f>Tabela25[[#This Row],[QUANT. VENDA]]*Tabela25[[#This Row],[CUSTO]]</f>
        <v>0</v>
      </c>
      <c r="Q306" s="55">
        <f>Tabela25[[#This Row],[CUSTO]]/Tabela25[[#This Row],[PREÇO PRATICADO]]</f>
        <v>0.42779865304878045</v>
      </c>
    </row>
    <row r="307" spans="1:19" ht="15" customHeight="1" x14ac:dyDescent="0.3">
      <c r="A307" s="66">
        <v>101700012</v>
      </c>
      <c r="B307" s="34">
        <v>1017</v>
      </c>
      <c r="C307" s="28" t="str">
        <f>VLOOKUP(Tabela25[[#This Row],[GRUPO]],[1]Produto!H168:I533,2,0)</f>
        <v>Pote</v>
      </c>
      <c r="D307" s="51" t="s">
        <v>331</v>
      </c>
      <c r="E307" s="36">
        <v>41</v>
      </c>
      <c r="F307" s="36">
        <v>48</v>
      </c>
      <c r="G307" s="21">
        <f>VLOOKUP(Tabela25[[#This Row],[CÓDIGO]],'[1]Estrutura Loja'!$B$3:$M$2941,5,0)</f>
        <v>57.796700937821164</v>
      </c>
      <c r="H307" s="37">
        <f t="shared" si="4"/>
        <v>-16.796700937821164</v>
      </c>
      <c r="I307" s="36">
        <v>41</v>
      </c>
      <c r="J30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8.6110174128919831E-2</v>
      </c>
      <c r="K307" s="53">
        <f>Tabela25[[#This Row],[PREÇO PRATICADO]]*Tabela25[[#This Row],[LUCRO REAL %]]</f>
        <v>3.5305171392857129</v>
      </c>
      <c r="L307" s="24"/>
      <c r="M307" s="54">
        <f>IF(Tabela25[[#This Row],[QUANT. VENDA]]=0,0,((Tabela25[[#This Row],[CUSTO]]*Tabela25[[#This Row],[QUANT. VENDA]])/(Tabela25[[#This Row],[QUANT. VENDA]]*Tabela25[[#This Row],[PREÇO PRATICADO]])))</f>
        <v>0</v>
      </c>
      <c r="N307" s="39">
        <f>VLOOKUP(Tabela25[[#This Row],[CÓDIGO]],'[1]Estrutura Loja'!$B$3:$E$1825,4,0)</f>
        <v>16.067482860714286</v>
      </c>
      <c r="O307" s="39">
        <f>Tabela25[[#This Row],[QUANT. VENDA]]*Tabela25[[#This Row],[PREÇO PRATICADO]]</f>
        <v>0</v>
      </c>
      <c r="P307" s="39">
        <f>Tabela25[[#This Row],[QUANT. VENDA]]*Tabela25[[#This Row],[CUSTO]]</f>
        <v>0</v>
      </c>
      <c r="Q307" s="55">
        <f>Tabela25[[#This Row],[CUSTO]]/Tabela25[[#This Row],[PREÇO PRATICADO]]</f>
        <v>0.39188982587108012</v>
      </c>
    </row>
    <row r="308" spans="1:19" ht="15" customHeight="1" x14ac:dyDescent="0.3">
      <c r="A308" s="66">
        <v>101700013</v>
      </c>
      <c r="B308" s="34">
        <v>1017</v>
      </c>
      <c r="C308" s="28" t="str">
        <f>VLOOKUP(Tabela25[[#This Row],[GRUPO]],[1]Produto!H169:I534,2,0)</f>
        <v>Pote</v>
      </c>
      <c r="D308" s="51" t="s">
        <v>332</v>
      </c>
      <c r="E308" s="36">
        <v>41</v>
      </c>
      <c r="F308" s="36">
        <v>48</v>
      </c>
      <c r="G308" s="21">
        <f>VLOOKUP(Tabela25[[#This Row],[CÓDIGO]],'[1]Estrutura Loja'!$B$3:$M$2941,5,0)</f>
        <v>48.992074130695443</v>
      </c>
      <c r="H308" s="37">
        <f t="shared" si="4"/>
        <v>-7.9920741306954426</v>
      </c>
      <c r="I308" s="36">
        <v>41</v>
      </c>
      <c r="J30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0.14580983882113815</v>
      </c>
      <c r="K308" s="53">
        <f>Tabela25[[#This Row],[PREÇO PRATICADO]]*Tabela25[[#This Row],[LUCRO REAL %]]</f>
        <v>5.9782033916666641</v>
      </c>
      <c r="L308" s="24"/>
      <c r="M308" s="54">
        <f>IF(Tabela25[[#This Row],[QUANT. VENDA]]=0,0,((Tabela25[[#This Row],[CUSTO]]*Tabela25[[#This Row],[QUANT. VENDA]])/(Tabela25[[#This Row],[QUANT. VENDA]]*Tabela25[[#This Row],[PREÇO PRATICADO]])))</f>
        <v>0</v>
      </c>
      <c r="N308" s="39">
        <f>VLOOKUP(Tabela25[[#This Row],[CÓDIGO]],'[1]Estrutura Loja'!$B$3:$E$1825,4,0)</f>
        <v>13.619796608333335</v>
      </c>
      <c r="O308" s="39">
        <f>Tabela25[[#This Row],[QUANT. VENDA]]*Tabela25[[#This Row],[PREÇO PRATICADO]]</f>
        <v>0</v>
      </c>
      <c r="P308" s="39">
        <f>Tabela25[[#This Row],[QUANT. VENDA]]*Tabela25[[#This Row],[CUSTO]]</f>
        <v>0</v>
      </c>
      <c r="Q308" s="55">
        <f>Tabela25[[#This Row],[CUSTO]]/Tabela25[[#This Row],[PREÇO PRATICADO]]</f>
        <v>0.3321901611788618</v>
      </c>
    </row>
    <row r="309" spans="1:19" ht="15" customHeight="1" x14ac:dyDescent="0.3">
      <c r="A309" s="66">
        <v>101700014</v>
      </c>
      <c r="B309" s="34">
        <v>1017</v>
      </c>
      <c r="C309" s="28" t="str">
        <f>VLOOKUP(Tabela25[[#This Row],[GRUPO]],[1]Produto!H170:I535,2,0)</f>
        <v>Pote</v>
      </c>
      <c r="D309" s="51" t="s">
        <v>333</v>
      </c>
      <c r="E309" s="36">
        <v>41</v>
      </c>
      <c r="F309" s="36">
        <v>48</v>
      </c>
      <c r="G309" s="21">
        <f>VLOOKUP(Tabela25[[#This Row],[CÓDIGO]],'[1]Estrutura Loja'!$B$3:$M$2941,5,0)</f>
        <v>52.51656676190693</v>
      </c>
      <c r="H309" s="37">
        <f t="shared" si="4"/>
        <v>-11.51656676190693</v>
      </c>
      <c r="I309" s="36">
        <v>41</v>
      </c>
      <c r="J30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0.12191205951682613</v>
      </c>
      <c r="K309" s="53">
        <f>Tabela25[[#This Row],[PREÇO PRATICADO]]*Tabela25[[#This Row],[LUCRO REAL %]]</f>
        <v>4.9983944401898714</v>
      </c>
      <c r="L309" s="24"/>
      <c r="M309" s="54">
        <f>IF(Tabela25[[#This Row],[QUANT. VENDA]]=0,0,((Tabela25[[#This Row],[CUSTO]]*Tabela25[[#This Row],[QUANT. VENDA]])/(Tabela25[[#This Row],[QUANT. VENDA]]*Tabela25[[#This Row],[PREÇO PRATICADO]])))</f>
        <v>0</v>
      </c>
      <c r="N309" s="39">
        <f>VLOOKUP(Tabela25[[#This Row],[CÓDIGO]],'[1]Estrutura Loja'!$B$3:$E$1825,4,0)</f>
        <v>14.599605559810128</v>
      </c>
      <c r="O309" s="39">
        <f>Tabela25[[#This Row],[QUANT. VENDA]]*Tabela25[[#This Row],[PREÇO PRATICADO]]</f>
        <v>0</v>
      </c>
      <c r="P309" s="39">
        <f>Tabela25[[#This Row],[QUANT. VENDA]]*Tabela25[[#This Row],[CUSTO]]</f>
        <v>0</v>
      </c>
      <c r="Q309" s="55">
        <f>Tabela25[[#This Row],[CUSTO]]/Tabela25[[#This Row],[PREÇO PRATICADO]]</f>
        <v>0.35608794048317383</v>
      </c>
    </row>
    <row r="310" spans="1:19" ht="15" customHeight="1" x14ac:dyDescent="0.3">
      <c r="A310" s="17">
        <v>101900002</v>
      </c>
      <c r="B310" s="18">
        <v>1019</v>
      </c>
      <c r="C310" s="28" t="s">
        <v>334</v>
      </c>
      <c r="D310" s="86" t="s">
        <v>335</v>
      </c>
      <c r="E310" s="20">
        <v>13</v>
      </c>
      <c r="F310" s="20">
        <v>15</v>
      </c>
      <c r="G310" s="21">
        <f>VLOOKUP(Tabela25[[#This Row],[CÓDIGO]],'[1]Estrutura Loja'!$B$3:$M$2941,5,0)</f>
        <v>13.858101460831335</v>
      </c>
      <c r="H310" s="21">
        <f t="shared" si="4"/>
        <v>-0.85810146083133532</v>
      </c>
      <c r="I310" s="44">
        <v>13</v>
      </c>
      <c r="J31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0.18164983029914522</v>
      </c>
      <c r="K310" s="53">
        <f>Tabela25[[#This Row],[PREÇO PRATICADO]]*Tabela25[[#This Row],[LUCRO REAL %]]</f>
        <v>2.361447793888888</v>
      </c>
      <c r="L310" s="24"/>
      <c r="M310" s="54">
        <f>IF(Tabela25[[#This Row],[QUANT. VENDA]]=0,0,((Tabela25[[#This Row],[CUSTO]]*Tabela25[[#This Row],[QUANT. VENDA]])/(Tabela25[[#This Row],[QUANT. VENDA]]*Tabela25[[#This Row],[PREÇO PRATICADO]])))</f>
        <v>0</v>
      </c>
      <c r="N310" s="26">
        <f>VLOOKUP(Tabela25[[#This Row],[CÓDIGO]],'[1]Estrutura Loja'!$B$3:$E$1825,4,0)</f>
        <v>3.8525522061111115</v>
      </c>
      <c r="O310" s="26">
        <f>Tabela25[[#This Row],[QUANT. VENDA]]*Tabela25[[#This Row],[PREÇO PRATICADO]]</f>
        <v>0</v>
      </c>
      <c r="P310" s="26">
        <f>Tabela25[[#This Row],[QUANT. VENDA]]*Tabela25[[#This Row],[CUSTO]]</f>
        <v>0</v>
      </c>
      <c r="Q310" s="27">
        <f>Tabela25[[#This Row],[CUSTO]]/Tabela25[[#This Row],[PREÇO PRATICADO]]</f>
        <v>0.2963501697008547</v>
      </c>
    </row>
    <row r="311" spans="1:19" ht="15" customHeight="1" x14ac:dyDescent="0.3">
      <c r="A311" s="17">
        <v>101900003</v>
      </c>
      <c r="B311" s="18">
        <v>1019</v>
      </c>
      <c r="C311" s="28" t="s">
        <v>334</v>
      </c>
      <c r="D311" s="86" t="s">
        <v>336</v>
      </c>
      <c r="E311" s="20">
        <v>13</v>
      </c>
      <c r="F311" s="20">
        <v>15</v>
      </c>
      <c r="G311" s="21">
        <f>VLOOKUP(Tabela25[[#This Row],[CÓDIGO]],'[1]Estrutura Loja'!$B$3:$M$2941,5,0)</f>
        <v>11.356777270183851</v>
      </c>
      <c r="H311" s="21">
        <f t="shared" si="4"/>
        <v>1.6432227298161486</v>
      </c>
      <c r="I311" s="44">
        <v>13</v>
      </c>
      <c r="J31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0.23513968606837604</v>
      </c>
      <c r="K311" s="53">
        <f>Tabela25[[#This Row],[PREÇO PRATICADO]]*Tabela25[[#This Row],[LUCRO REAL %]]</f>
        <v>3.0568159188888884</v>
      </c>
      <c r="L311" s="24"/>
      <c r="M311" s="54">
        <f>IF(Tabela25[[#This Row],[QUANT. VENDA]]=0,0,((Tabela25[[#This Row],[CUSTO]]*Tabela25[[#This Row],[QUANT. VENDA]])/(Tabela25[[#This Row],[QUANT. VENDA]]*Tabela25[[#This Row],[PREÇO PRATICADO]])))</f>
        <v>0</v>
      </c>
      <c r="N311" s="26">
        <f>VLOOKUP(Tabela25[[#This Row],[CÓDIGO]],'[1]Estrutura Loja'!$B$3:$E$1825,4,0)</f>
        <v>3.1571840811111112</v>
      </c>
      <c r="O311" s="26">
        <f>Tabela25[[#This Row],[QUANT. VENDA]]*Tabela25[[#This Row],[PREÇO PRATICADO]]</f>
        <v>0</v>
      </c>
      <c r="P311" s="26">
        <f>Tabela25[[#This Row],[QUANT. VENDA]]*Tabela25[[#This Row],[CUSTO]]</f>
        <v>0</v>
      </c>
      <c r="Q311" s="27">
        <f>Tabela25[[#This Row],[CUSTO]]/Tabela25[[#This Row],[PREÇO PRATICADO]]</f>
        <v>0.24286031393162394</v>
      </c>
    </row>
    <row r="312" spans="1:19" ht="15" customHeight="1" x14ac:dyDescent="0.3">
      <c r="A312" s="17">
        <v>101900004</v>
      </c>
      <c r="B312" s="18">
        <v>1019</v>
      </c>
      <c r="C312" s="28" t="s">
        <v>334</v>
      </c>
      <c r="D312" s="86" t="s">
        <v>337</v>
      </c>
      <c r="E312" s="20">
        <v>13</v>
      </c>
      <c r="F312" s="20">
        <v>15</v>
      </c>
      <c r="G312" s="45">
        <f>VLOOKUP(Tabela25[[#This Row],[CÓDIGO]],'[1]Estrutura Loja'!$B$3:$M$2941,5,0)</f>
        <v>10.072791708633094</v>
      </c>
      <c r="H312" s="45">
        <f t="shared" si="4"/>
        <v>2.927208291366906</v>
      </c>
      <c r="I312" s="44">
        <v>13</v>
      </c>
      <c r="J31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0.26259722346153841</v>
      </c>
      <c r="K312" s="23">
        <f>Tabela25[[#This Row],[PREÇO PRATICADO]]*Tabela25[[#This Row],[LUCRO REAL %]]</f>
        <v>3.4137639049999993</v>
      </c>
      <c r="L312" s="57"/>
      <c r="M312" s="54">
        <f>IF(Tabela25[[#This Row],[QUANT. VENDA]]=0,0,((Tabela25[[#This Row],[CUSTO]]*Tabela25[[#This Row],[QUANT. VENDA]])/(Tabela25[[#This Row],[QUANT. VENDA]]*Tabela25[[#This Row],[PREÇO PRATICADO]])))</f>
        <v>0</v>
      </c>
      <c r="N312" s="26">
        <f>VLOOKUP(Tabela25[[#This Row],[CÓDIGO]],'[1]Estrutura Loja'!$B$3:$E$1825,4,0)</f>
        <v>2.8002360950000003</v>
      </c>
      <c r="O312" s="48">
        <f>Tabela25[[#This Row],[QUANT. VENDA]]*Tabela25[[#This Row],[PREÇO PRATICADO]]</f>
        <v>0</v>
      </c>
      <c r="P312" s="48">
        <f>Tabela25[[#This Row],[QUANT. VENDA]]*Tabela25[[#This Row],[CUSTO]]</f>
        <v>0</v>
      </c>
      <c r="Q312" s="27">
        <f>Tabela25[[#This Row],[CUSTO]]/Tabela25[[#This Row],[PREÇO PRATICADO]]</f>
        <v>0.21540277653846157</v>
      </c>
      <c r="S312" s="93"/>
    </row>
    <row r="313" spans="1:19" ht="15" customHeight="1" x14ac:dyDescent="0.3">
      <c r="A313" s="17">
        <v>101900005</v>
      </c>
      <c r="B313" s="18">
        <v>1019</v>
      </c>
      <c r="C313" s="28" t="s">
        <v>334</v>
      </c>
      <c r="D313" s="86" t="s">
        <v>338</v>
      </c>
      <c r="E313" s="20">
        <v>13</v>
      </c>
      <c r="F313" s="20">
        <v>15</v>
      </c>
      <c r="G313" s="21">
        <f>VLOOKUP(Tabela25[[#This Row],[CÓDIGO]],'[1]Estrutura Loja'!$B$3:$M$2941,5,0)</f>
        <v>13.256671461973278</v>
      </c>
      <c r="H313" s="21">
        <f t="shared" si="4"/>
        <v>-0.25667146197327817</v>
      </c>
      <c r="I313" s="44">
        <v>13</v>
      </c>
      <c r="J31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0.19451117950549446</v>
      </c>
      <c r="K313" s="53">
        <f>Tabela25[[#This Row],[PREÇO PRATICADO]]*Tabela25[[#This Row],[LUCRO REAL %]]</f>
        <v>2.5286453335714278</v>
      </c>
      <c r="L313" s="24"/>
      <c r="M313" s="54">
        <f>IF(Tabela25[[#This Row],[QUANT. VENDA]]=0,0,((Tabela25[[#This Row],[CUSTO]]*Tabela25[[#This Row],[QUANT. VENDA]])/(Tabela25[[#This Row],[QUANT. VENDA]]*Tabela25[[#This Row],[PREÇO PRATICADO]])))</f>
        <v>0</v>
      </c>
      <c r="N313" s="26">
        <f>VLOOKUP(Tabela25[[#This Row],[CÓDIGO]],'[1]Estrutura Loja'!$B$3:$E$1825,4,0)</f>
        <v>3.6853546664285717</v>
      </c>
      <c r="O313" s="26">
        <f>Tabela25[[#This Row],[QUANT. VENDA]]*Tabela25[[#This Row],[PREÇO PRATICADO]]</f>
        <v>0</v>
      </c>
      <c r="P313" s="26">
        <f>Tabela25[[#This Row],[QUANT. VENDA]]*Tabela25[[#This Row],[CUSTO]]</f>
        <v>0</v>
      </c>
      <c r="Q313" s="27">
        <f>Tabela25[[#This Row],[CUSTO]]/Tabela25[[#This Row],[PREÇO PRATICADO]]</f>
        <v>0.28348882049450552</v>
      </c>
      <c r="S313" s="93"/>
    </row>
    <row r="314" spans="1:19" ht="15" customHeight="1" x14ac:dyDescent="0.3">
      <c r="A314" s="42">
        <v>101900008</v>
      </c>
      <c r="B314" s="18">
        <v>1019</v>
      </c>
      <c r="C314" s="28" t="s">
        <v>334</v>
      </c>
      <c r="D314" s="43" t="s">
        <v>339</v>
      </c>
      <c r="E314" s="20">
        <v>13</v>
      </c>
      <c r="F314" s="20">
        <v>15</v>
      </c>
      <c r="G314" s="37">
        <f>VLOOKUP(Tabela25[[#This Row],[CÓDIGO]],'[1]Estrutura Loja'!$B$3:$M$2941,5,0)</f>
        <v>11.715321684652277</v>
      </c>
      <c r="H314" s="37">
        <f t="shared" si="4"/>
        <v>1.2846783153477226</v>
      </c>
      <c r="I314" s="44">
        <v>13</v>
      </c>
      <c r="J314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0.2274723516666666</v>
      </c>
      <c r="K314" s="53">
        <f>Tabela25[[#This Row],[PREÇO PRATICADO]]*Tabela25[[#This Row],[LUCRO REAL %]]</f>
        <v>2.9571405716666659</v>
      </c>
      <c r="L314" s="38"/>
      <c r="M314" s="67">
        <f>IF(Tabela25[[#This Row],[QUANT. VENDA]]=0,0,((Tabela25[[#This Row],[CUSTO]]*Tabela25[[#This Row],[QUANT. VENDA]])/(Tabela25[[#This Row],[QUANT. VENDA]]*Tabela25[[#This Row],[PREÇO PRATICADO]])))</f>
        <v>0</v>
      </c>
      <c r="N314" s="48">
        <f>VLOOKUP(Tabela25[[#This Row],[CÓDIGO]],'[1]Estrutura Loja'!$B$3:$E$1825,4,0)</f>
        <v>3.2568594283333336</v>
      </c>
      <c r="O314" s="39">
        <f>Tabela25[[#This Row],[QUANT. VENDA]]*Tabela25[[#This Row],[PREÇO PRATICADO]]</f>
        <v>0</v>
      </c>
      <c r="P314" s="39">
        <f>Tabela25[[#This Row],[QUANT. VENDA]]*Tabela25[[#This Row],[CUSTO]]</f>
        <v>0</v>
      </c>
      <c r="Q314" s="56">
        <f>Tabela25[[#This Row],[CUSTO]]/Tabela25[[#This Row],[PREÇO PRATICADO]]</f>
        <v>0.25052764833333335</v>
      </c>
    </row>
    <row r="315" spans="1:19" ht="15" customHeight="1" x14ac:dyDescent="0.3">
      <c r="A315" s="42">
        <v>101900006</v>
      </c>
      <c r="B315" s="18">
        <v>1019</v>
      </c>
      <c r="C315" s="28" t="s">
        <v>334</v>
      </c>
      <c r="D315" t="s">
        <v>340</v>
      </c>
      <c r="E315" s="20">
        <v>13</v>
      </c>
      <c r="F315" s="20">
        <v>15</v>
      </c>
      <c r="G315" s="45">
        <f>VLOOKUP(Tabela25[[#This Row],[CÓDIGO]],'[1]Estrutura Loja'!$B$3:$M$2941,5,0)</f>
        <v>10.712369367934224</v>
      </c>
      <c r="H315" s="37">
        <f t="shared" si="4"/>
        <v>2.2876306320657758</v>
      </c>
      <c r="I315" s="44">
        <v>13</v>
      </c>
      <c r="J31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0.24892010120879116</v>
      </c>
      <c r="K315" s="23">
        <f>Tabela25[[#This Row],[PREÇO PRATICADO]]*Tabela25[[#This Row],[LUCRO REAL %]]</f>
        <v>3.235961315714285</v>
      </c>
      <c r="L315" s="38"/>
      <c r="M315" s="54">
        <f>IF(Tabela25[[#This Row],[QUANT. VENDA]]=0,0,((Tabela25[[#This Row],[CUSTO]]*Tabela25[[#This Row],[QUANT. VENDA]])/(Tabela25[[#This Row],[QUANT. VENDA]]*Tabela25[[#This Row],[PREÇO PRATICADO]])))</f>
        <v>0</v>
      </c>
      <c r="N315" s="48">
        <f>VLOOKUP(Tabela25[[#This Row],[CÓDIGO]],'[1]Estrutura Loja'!$B$3:$E$1825,4,0)</f>
        <v>2.9780386842857145</v>
      </c>
      <c r="O315" s="39">
        <f>Tabela25[[#This Row],[QUANT. VENDA]]*Tabela25[[#This Row],[PREÇO PRATICADO]]</f>
        <v>0</v>
      </c>
      <c r="P315" s="39">
        <f>Tabela25[[#This Row],[QUANT. VENDA]]*Tabela25[[#This Row],[CUSTO]]</f>
        <v>0</v>
      </c>
      <c r="Q315" s="56">
        <f>Tabela25[[#This Row],[CUSTO]]/Tabela25[[#This Row],[PREÇO PRATICADO]]</f>
        <v>0.2290798987912088</v>
      </c>
    </row>
    <row r="316" spans="1:19" ht="15" customHeight="1" x14ac:dyDescent="0.3">
      <c r="A316" s="42">
        <v>101900007</v>
      </c>
      <c r="B316" s="18">
        <v>1019</v>
      </c>
      <c r="C316" s="28" t="s">
        <v>334</v>
      </c>
      <c r="D316" t="s">
        <v>341</v>
      </c>
      <c r="E316" s="20">
        <v>13</v>
      </c>
      <c r="F316" s="20">
        <v>15</v>
      </c>
      <c r="G316" s="45">
        <f>VLOOKUP(Tabela25[[#This Row],[CÓDIGO]],'[1]Estrutura Loja'!$B$3:$M$2941,5,0)</f>
        <v>13.159637841130349</v>
      </c>
      <c r="H316" s="37">
        <f t="shared" si="4"/>
        <v>-0.1596378411303494</v>
      </c>
      <c r="I316" s="44">
        <v>13</v>
      </c>
      <c r="J31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0.19658620616659708</v>
      </c>
      <c r="K316" s="23">
        <f>Tabela25[[#This Row],[PREÇO PRATICADO]]*Tabela25[[#This Row],[LUCRO REAL %]]</f>
        <v>2.5556206801657622</v>
      </c>
      <c r="L316" s="38"/>
      <c r="M316" s="54">
        <f>IF(Tabela25[[#This Row],[QUANT. VENDA]]=0,0,((Tabela25[[#This Row],[CUSTO]]*Tabela25[[#This Row],[QUANT. VENDA]])/(Tabela25[[#This Row],[QUANT. VENDA]]*Tabela25[[#This Row],[PREÇO PRATICADO]])))</f>
        <v>0</v>
      </c>
      <c r="N316" s="48">
        <f>VLOOKUP(Tabela25[[#This Row],[CÓDIGO]],'[1]Estrutura Loja'!$B$3:$E$1825,4,0)</f>
        <v>3.6583793198342374</v>
      </c>
      <c r="O316" s="39">
        <f>Tabela25[[#This Row],[QUANT. VENDA]]*Tabela25[[#This Row],[PREÇO PRATICADO]]</f>
        <v>0</v>
      </c>
      <c r="P316" s="39">
        <f>Tabela25[[#This Row],[QUANT. VENDA]]*Tabela25[[#This Row],[CUSTO]]</f>
        <v>0</v>
      </c>
      <c r="Q316" s="56">
        <f>Tabela25[[#This Row],[CUSTO]]/Tabela25[[#This Row],[PREÇO PRATICADO]]</f>
        <v>0.28141379383340287</v>
      </c>
    </row>
    <row r="317" spans="1:19" ht="15" customHeight="1" x14ac:dyDescent="0.3">
      <c r="A317" s="42">
        <v>100700003</v>
      </c>
      <c r="B317" s="28">
        <v>1027</v>
      </c>
      <c r="C317" s="28" t="s">
        <v>342</v>
      </c>
      <c r="D317" s="43" t="s">
        <v>343</v>
      </c>
      <c r="E317" s="44">
        <v>17</v>
      </c>
      <c r="F317" s="44">
        <v>19</v>
      </c>
      <c r="G317" s="21">
        <f>VLOOKUP(Tabela25[[#This Row],[CÓDIGO]],'[1]Estrutura Loja'!$B$3:$M$2941,5,0)</f>
        <v>17.25607498800959</v>
      </c>
      <c r="H317" s="45">
        <f t="shared" si="4"/>
        <v>-0.2560749880095905</v>
      </c>
      <c r="I317" s="44">
        <v>17</v>
      </c>
      <c r="J31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0.19581242078431368</v>
      </c>
      <c r="K317" s="23">
        <f>Tabela25[[#This Row],[PREÇO PRATICADO]]*Tabela25[[#This Row],[LUCRO REAL %]]</f>
        <v>3.3288111533333327</v>
      </c>
      <c r="L317" s="24"/>
      <c r="M317" s="54">
        <f>IF(Tabela25[[#This Row],[QUANT. VENDA]]=0,0,((Tabela25[[#This Row],[CUSTO]]*Tabela25[[#This Row],[QUANT. VENDA]])/(Tabela25[[#This Row],[QUANT. VENDA]]*Tabela25[[#This Row],[PREÇO PRATICADO]])))</f>
        <v>0</v>
      </c>
      <c r="N317" s="48">
        <f>VLOOKUP(Tabela25[[#This Row],[CÓDIGO]],'[1]Estrutura Loja'!$B$3:$E$1825,4,0)</f>
        <v>4.7971888466666668</v>
      </c>
      <c r="O317" s="48">
        <f>Tabela25[[#This Row],[QUANT. VENDA]]*Tabela25[[#This Row],[PREÇO PRATICADO]]</f>
        <v>0</v>
      </c>
      <c r="P317" s="48">
        <f>Tabela25[[#This Row],[QUANT. VENDA]]*Tabela25[[#This Row],[CUSTO]]</f>
        <v>0</v>
      </c>
      <c r="Q317" s="49">
        <f>Tabela25[[#This Row],[CUSTO]]/Tabela25[[#This Row],[PREÇO PRATICADO]]</f>
        <v>0.28218757921568627</v>
      </c>
    </row>
    <row r="318" spans="1:19" ht="15" customHeight="1" x14ac:dyDescent="0.3">
      <c r="A318" s="42">
        <v>100700008</v>
      </c>
      <c r="B318" s="28">
        <v>1027</v>
      </c>
      <c r="C318" s="28" t="s">
        <v>342</v>
      </c>
      <c r="D318" s="43" t="s">
        <v>344</v>
      </c>
      <c r="E318" s="44">
        <v>17</v>
      </c>
      <c r="F318" s="44">
        <v>19</v>
      </c>
      <c r="G318" s="21">
        <f>VLOOKUP(Tabela25[[#This Row],[CÓDIGO]],'[1]Estrutura Loja'!$B$3:$M$2941,5,0)</f>
        <v>15.931538117505992</v>
      </c>
      <c r="H318" s="45">
        <f t="shared" si="4"/>
        <v>1.0684618824940078</v>
      </c>
      <c r="I318" s="44">
        <v>17</v>
      </c>
      <c r="J31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0.21747249431372548</v>
      </c>
      <c r="K318" s="53">
        <f>Tabela25[[#This Row],[PREÇO PRATICADO]]*Tabela25[[#This Row],[LUCRO REAL %]]</f>
        <v>3.6970324033333331</v>
      </c>
      <c r="L318" s="24"/>
      <c r="M318" s="54">
        <f>IF(Tabela25[[#This Row],[QUANT. VENDA]]=0,0,((Tabela25[[#This Row],[CUSTO]]*Tabela25[[#This Row],[QUANT. VENDA]])/(Tabela25[[#This Row],[QUANT. VENDA]]*Tabela25[[#This Row],[PREÇO PRATICADO]])))</f>
        <v>0</v>
      </c>
      <c r="N318" s="48">
        <f>VLOOKUP(Tabela25[[#This Row],[CÓDIGO]],'[1]Estrutura Loja'!$B$3:$E$1825,4,0)</f>
        <v>4.4289675966666664</v>
      </c>
      <c r="O318" s="48">
        <f>Tabela25[[#This Row],[QUANT. VENDA]]*Tabela25[[#This Row],[PREÇO PRATICADO]]</f>
        <v>0</v>
      </c>
      <c r="P318" s="48">
        <f>Tabela25[[#This Row],[QUANT. VENDA]]*Tabela25[[#This Row],[CUSTO]]</f>
        <v>0</v>
      </c>
      <c r="Q318" s="49">
        <f>Tabela25[[#This Row],[CUSTO]]/Tabela25[[#This Row],[PREÇO PRATICADO]]</f>
        <v>0.26052750568627447</v>
      </c>
    </row>
    <row r="319" spans="1:19" ht="15" customHeight="1" x14ac:dyDescent="0.3">
      <c r="A319" s="42">
        <v>100700044</v>
      </c>
      <c r="B319" s="28">
        <v>1027</v>
      </c>
      <c r="C319" s="28" t="s">
        <v>342</v>
      </c>
      <c r="D319" s="43" t="s">
        <v>345</v>
      </c>
      <c r="E319" s="44">
        <v>17</v>
      </c>
      <c r="F319" s="44">
        <v>19</v>
      </c>
      <c r="G319" s="45">
        <f>VLOOKUP(Tabela25[[#This Row],[CÓDIGO]],'[1]Estrutura Loja'!$B$3:$M$2941,5,0)</f>
        <v>12.855997050359711</v>
      </c>
      <c r="H319" s="45">
        <f t="shared" si="4"/>
        <v>4.1440029496402886</v>
      </c>
      <c r="I319" s="44">
        <v>17</v>
      </c>
      <c r="J31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0.26776663647058818</v>
      </c>
      <c r="K319" s="23">
        <f>Tabela25[[#This Row],[PREÇO PRATICADO]]*Tabela25[[#This Row],[LUCRO REAL %]]</f>
        <v>4.5520328199999991</v>
      </c>
      <c r="L319" s="57"/>
      <c r="M319" s="54">
        <f>IF(Tabela25[[#This Row],[QUANT. VENDA]]=0,0,((Tabela25[[#This Row],[CUSTO]]*Tabela25[[#This Row],[QUANT. VENDA]])/(Tabela25[[#This Row],[QUANT. VENDA]]*Tabela25[[#This Row],[PREÇO PRATICADO]])))</f>
        <v>0</v>
      </c>
      <c r="N319" s="48">
        <f>VLOOKUP(Tabela25[[#This Row],[CÓDIGO]],'[1]Estrutura Loja'!$B$3:$E$1825,4,0)</f>
        <v>3.5739671799999999</v>
      </c>
      <c r="O319" s="48">
        <f>Tabela25[[#This Row],[QUANT. VENDA]]*Tabela25[[#This Row],[PREÇO PRATICADO]]</f>
        <v>0</v>
      </c>
      <c r="P319" s="48">
        <f>Tabela25[[#This Row],[QUANT. VENDA]]*Tabela25[[#This Row],[CUSTO]]</f>
        <v>0</v>
      </c>
      <c r="Q319" s="49">
        <f>Tabela25[[#This Row],[CUSTO]]/Tabela25[[#This Row],[PREÇO PRATICADO]]</f>
        <v>0.21023336352941177</v>
      </c>
    </row>
    <row r="320" spans="1:19" ht="15" customHeight="1" x14ac:dyDescent="0.3">
      <c r="A320" s="42">
        <v>100700009</v>
      </c>
      <c r="B320" s="28">
        <v>1027</v>
      </c>
      <c r="C320" s="28" t="s">
        <v>342</v>
      </c>
      <c r="D320" s="43" t="s">
        <v>346</v>
      </c>
      <c r="E320" s="44">
        <v>17</v>
      </c>
      <c r="F320" s="44">
        <v>19</v>
      </c>
      <c r="G320" s="21">
        <f>VLOOKUP(Tabela25[[#This Row],[CÓDIGO]],'[1]Estrutura Loja'!$B$3:$M$2941,5,0)</f>
        <v>15.537538674203493</v>
      </c>
      <c r="H320" s="45">
        <f t="shared" si="4"/>
        <v>1.4624613257965073</v>
      </c>
      <c r="I320" s="44">
        <v>17</v>
      </c>
      <c r="J32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0.22391554403361341</v>
      </c>
      <c r="K320" s="53">
        <f>Tabela25[[#This Row],[PREÇO PRATICADO]]*Tabela25[[#This Row],[LUCRO REAL %]]</f>
        <v>3.8065642485714282</v>
      </c>
      <c r="L320" s="24"/>
      <c r="M320" s="54">
        <f>IF(Tabela25[[#This Row],[QUANT. VENDA]]=0,0,((Tabela25[[#This Row],[CUSTO]]*Tabela25[[#This Row],[QUANT. VENDA]])/(Tabela25[[#This Row],[QUANT. VENDA]]*Tabela25[[#This Row],[PREÇO PRATICADO]])))</f>
        <v>0</v>
      </c>
      <c r="N320" s="48">
        <f>VLOOKUP(Tabela25[[#This Row],[CÓDIGO]],'[1]Estrutura Loja'!$B$3:$E$1825,4,0)</f>
        <v>4.3194357514285713</v>
      </c>
      <c r="O320" s="48">
        <f>Tabela25[[#This Row],[QUANT. VENDA]]*Tabela25[[#This Row],[PREÇO PRATICADO]]</f>
        <v>0</v>
      </c>
      <c r="P320" s="48">
        <f>Tabela25[[#This Row],[QUANT. VENDA]]*Tabela25[[#This Row],[CUSTO]]</f>
        <v>0</v>
      </c>
      <c r="Q320" s="49">
        <f>Tabela25[[#This Row],[CUSTO]]/Tabela25[[#This Row],[PREÇO PRATICADO]]</f>
        <v>0.25408445596638657</v>
      </c>
    </row>
    <row r="321" spans="1:17" ht="15" customHeight="1" x14ac:dyDescent="0.3">
      <c r="A321" s="66">
        <v>100700050</v>
      </c>
      <c r="B321" s="28">
        <v>1027</v>
      </c>
      <c r="C321" s="28" t="s">
        <v>342</v>
      </c>
      <c r="D321" s="43" t="s">
        <v>347</v>
      </c>
      <c r="E321" s="36">
        <v>17</v>
      </c>
      <c r="F321" s="36">
        <v>19</v>
      </c>
      <c r="G321" s="37">
        <f>VLOOKUP(Tabela25[[#This Row],[CÓDIGO]],'[1]Estrutura Loja'!$B$3:$M$2941,5,0)</f>
        <v>17.765733261390888</v>
      </c>
      <c r="H321" s="37">
        <f t="shared" si="4"/>
        <v>-0.76573326139088849</v>
      </c>
      <c r="I321" s="36">
        <v>17</v>
      </c>
      <c r="J32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0.18747800901960776</v>
      </c>
      <c r="K321" s="53">
        <f>Tabela25[[#This Row],[PREÇO PRATICADO]]*Tabela25[[#This Row],[LUCRO REAL %]]</f>
        <v>3.1871261533333319</v>
      </c>
      <c r="L321" s="38"/>
      <c r="M321" s="67">
        <f>IF(Tabela25[[#This Row],[QUANT. VENDA]]=0,0,((Tabela25[[#This Row],[CUSTO]]*Tabela25[[#This Row],[QUANT. VENDA]])/(Tabela25[[#This Row],[QUANT. VENDA]]*Tabela25[[#This Row],[PREÇO PRATICADO]])))</f>
        <v>0</v>
      </c>
      <c r="N321" s="48">
        <f>VLOOKUP(Tabela25[[#This Row],[CÓDIGO]],'[1]Estrutura Loja'!$B$3:$E$1825,4,0)</f>
        <v>4.9388738466666675</v>
      </c>
      <c r="O321" s="39">
        <f>Tabela25[[#This Row],[QUANT. VENDA]]*Tabela25[[#This Row],[PREÇO PRATICADO]]</f>
        <v>0</v>
      </c>
      <c r="P321" s="39">
        <f>Tabela25[[#This Row],[QUANT. VENDA]]*Tabela25[[#This Row],[CUSTO]]</f>
        <v>0</v>
      </c>
      <c r="Q321" s="49">
        <f>Tabela25[[#This Row],[CUSTO]]/Tabela25[[#This Row],[PREÇO PRATICADO]]</f>
        <v>0.29052199098039222</v>
      </c>
    </row>
    <row r="322" spans="1:17" ht="15" customHeight="1" x14ac:dyDescent="0.3">
      <c r="A322" s="66">
        <v>100700047</v>
      </c>
      <c r="B322" s="28">
        <v>1027</v>
      </c>
      <c r="C322" s="28" t="s">
        <v>342</v>
      </c>
      <c r="D322" s="43" t="s">
        <v>348</v>
      </c>
      <c r="E322" s="36">
        <v>17</v>
      </c>
      <c r="F322" s="36">
        <v>19</v>
      </c>
      <c r="G322" s="37">
        <f>VLOOKUP(Tabela25[[#This Row],[CÓDIGO]],'[1]Estrutura Loja'!$B$3:$M$2941,5,0)</f>
        <v>14.998050621788282</v>
      </c>
      <c r="H322" s="37">
        <f t="shared" si="4"/>
        <v>2.0019493782117177</v>
      </c>
      <c r="I322" s="36">
        <v>17</v>
      </c>
      <c r="J32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0.23273776042016803</v>
      </c>
      <c r="K322" s="53">
        <f>Tabela25[[#This Row],[PREÇO PRATICADO]]*Tabela25[[#This Row],[LUCRO REAL %]]</f>
        <v>3.9565419271428564</v>
      </c>
      <c r="L322" s="38"/>
      <c r="M322" s="67">
        <f>IF(Tabela25[[#This Row],[QUANT. VENDA]]=0,0,((Tabela25[[#This Row],[CUSTO]]*Tabela25[[#This Row],[QUANT. VENDA]])/(Tabela25[[#This Row],[QUANT. VENDA]]*Tabela25[[#This Row],[PREÇO PRATICADO]])))</f>
        <v>0</v>
      </c>
      <c r="N322" s="48">
        <f>VLOOKUP(Tabela25[[#This Row],[CÓDIGO]],'[1]Estrutura Loja'!$B$3:$E$1825,4,0)</f>
        <v>4.1694580728571431</v>
      </c>
      <c r="O322" s="39">
        <f>Tabela25[[#This Row],[QUANT. VENDA]]*Tabela25[[#This Row],[PREÇO PRATICADO]]</f>
        <v>0</v>
      </c>
      <c r="P322" s="39">
        <f>Tabela25[[#This Row],[QUANT. VENDA]]*Tabela25[[#This Row],[CUSTO]]</f>
        <v>0</v>
      </c>
      <c r="Q322" s="49">
        <f>Tabela25[[#This Row],[CUSTO]]/Tabela25[[#This Row],[PREÇO PRATICADO]]</f>
        <v>0.24526223957983195</v>
      </c>
    </row>
    <row r="323" spans="1:17" ht="15" customHeight="1" x14ac:dyDescent="0.3">
      <c r="A323" s="66">
        <v>100700046</v>
      </c>
      <c r="B323" s="34">
        <v>1007</v>
      </c>
      <c r="C323" s="28" t="s">
        <v>342</v>
      </c>
      <c r="D323" t="s">
        <v>349</v>
      </c>
      <c r="E323" s="36">
        <v>17</v>
      </c>
      <c r="F323" s="36">
        <v>19</v>
      </c>
      <c r="G323" s="37">
        <f>VLOOKUP(Tabela25[[#This Row],[CÓDIGO]],'[1]Estrutura Loja'!$B$3:$M$2941,5,0)</f>
        <v>18.246277578197841</v>
      </c>
      <c r="H323" s="37">
        <f t="shared" si="4"/>
        <v>-1.2462775781978408</v>
      </c>
      <c r="I323" s="36">
        <v>17</v>
      </c>
      <c r="J323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0.17961969607417647</v>
      </c>
      <c r="K323" s="53">
        <f>Tabela25[[#This Row],[PREÇO PRATICADO]]*Tabela25[[#This Row],[LUCRO REAL %]]</f>
        <v>3.0535348332609997</v>
      </c>
      <c r="L323" s="38"/>
      <c r="M323" s="67">
        <f>IF(Tabela25[[#This Row],[QUANT. VENDA]]=0,0,((Tabela25[[#This Row],[CUSTO]]*Tabela25[[#This Row],[QUANT. VENDA]])/(Tabela25[[#This Row],[QUANT. VENDA]]*Tabela25[[#This Row],[PREÇO PRATICADO]])))</f>
        <v>0</v>
      </c>
      <c r="N323" s="39">
        <f>VLOOKUP(Tabela25[[#This Row],[CÓDIGO]],'[1]Estrutura Loja'!$B$3:$E$1825,4,0)</f>
        <v>5.0724651667389997</v>
      </c>
      <c r="O323" s="39">
        <f>Tabela25[[#This Row],[QUANT. VENDA]]*Tabela25[[#This Row],[PREÇO PRATICADO]]</f>
        <v>0</v>
      </c>
      <c r="P323" s="39">
        <f>Tabela25[[#This Row],[QUANT. VENDA]]*Tabela25[[#This Row],[CUSTO]]</f>
        <v>0</v>
      </c>
      <c r="Q323" s="55">
        <f>Tabela25[[#This Row],[CUSTO]]/Tabela25[[#This Row],[PREÇO PRATICADO]]</f>
        <v>0.29838030392582349</v>
      </c>
    </row>
    <row r="324" spans="1:17" ht="15" customHeight="1" x14ac:dyDescent="0.3">
      <c r="A324" s="42">
        <v>102100010</v>
      </c>
      <c r="B324" s="18">
        <v>1021</v>
      </c>
      <c r="C324" s="28" t="s">
        <v>350</v>
      </c>
      <c r="D324" t="s">
        <v>351</v>
      </c>
      <c r="E324" s="20">
        <v>15</v>
      </c>
      <c r="F324" s="20">
        <v>17</v>
      </c>
      <c r="G324" s="21">
        <f>VLOOKUP(Tabela25[[#This Row],[CÓDIGO]],'[1]Estrutura Loja'!$B$3:$M$2941,5,0)</f>
        <v>13.372628639088727</v>
      </c>
      <c r="H324" s="45">
        <f t="shared" si="4"/>
        <v>1.6273713609112725</v>
      </c>
      <c r="I324" s="44">
        <v>15</v>
      </c>
      <c r="J32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0.23016061588888889</v>
      </c>
      <c r="K324" s="53">
        <f>Tabela25[[#This Row],[PREÇO PRATICADO]]*Tabela25[[#This Row],[LUCRO REAL %]]</f>
        <v>3.4524092383333334</v>
      </c>
      <c r="L324" s="24"/>
      <c r="M324" s="54">
        <f>IF(Tabela25[[#This Row],[QUANT. VENDA]]=0,0,((Tabela25[[#This Row],[CUSTO]]*Tabela25[[#This Row],[QUANT. VENDA]])/(Tabela25[[#This Row],[QUANT. VENDA]]*Tabela25[[#This Row],[PREÇO PRATICADO]])))</f>
        <v>0</v>
      </c>
      <c r="N324" s="48">
        <f>VLOOKUP(Tabela25[[#This Row],[CÓDIGO]],'[1]Estrutura Loja'!$B$3:$E$1825,4,0)</f>
        <v>3.7175907616666666</v>
      </c>
      <c r="O324" s="48">
        <f>Tabela25[[#This Row],[QUANT. VENDA]]*Tabela25[[#This Row],[PREÇO PRATICADO]]</f>
        <v>0</v>
      </c>
      <c r="P324" s="48">
        <f>Tabela25[[#This Row],[QUANT. VENDA]]*Tabela25[[#This Row],[CUSTO]]</f>
        <v>0</v>
      </c>
      <c r="Q324" s="56">
        <f>Tabela25[[#This Row],[CUSTO]]/Tabela25[[#This Row],[PREÇO PRATICADO]]</f>
        <v>0.24783938411111112</v>
      </c>
    </row>
    <row r="325" spans="1:17" ht="15" customHeight="1" x14ac:dyDescent="0.3">
      <c r="A325" s="17">
        <v>102100008</v>
      </c>
      <c r="B325" s="18">
        <v>1021</v>
      </c>
      <c r="C325" s="28" t="s">
        <v>350</v>
      </c>
      <c r="D325" s="86" t="s">
        <v>352</v>
      </c>
      <c r="E325" s="20">
        <v>15</v>
      </c>
      <c r="F325" s="20">
        <v>17</v>
      </c>
      <c r="G325" s="21">
        <f>VLOOKUP(Tabela25[[#This Row],[CÓDIGO]],'[1]Estrutura Loja'!$B$3:$M$2941,5,0)</f>
        <v>16.198138003597119</v>
      </c>
      <c r="H325" s="21">
        <f t="shared" ref="H325:H384" si="5">E325-G325</f>
        <v>-1.1981380035971192</v>
      </c>
      <c r="I325" s="44">
        <v>15</v>
      </c>
      <c r="J32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0.17779450900000004</v>
      </c>
      <c r="K325" s="53">
        <f>Tabela25[[#This Row],[PREÇO PRATICADO]]*Tabela25[[#This Row],[LUCRO REAL %]]</f>
        <v>2.6669176350000008</v>
      </c>
      <c r="L325" s="24"/>
      <c r="M325" s="54">
        <f>IF(Tabela25[[#This Row],[QUANT. VENDA]]=0,0,((Tabela25[[#This Row],[CUSTO]]*Tabela25[[#This Row],[QUANT. VENDA]])/(Tabela25[[#This Row],[QUANT. VENDA]]*Tabela25[[#This Row],[PREÇO PRATICADO]])))</f>
        <v>0</v>
      </c>
      <c r="N325" s="26">
        <f>VLOOKUP(Tabela25[[#This Row],[CÓDIGO]],'[1]Estrutura Loja'!$B$3:$E$1825,4,0)</f>
        <v>4.5030823649999991</v>
      </c>
      <c r="O325" s="26">
        <f>Tabela25[[#This Row],[QUANT. VENDA]]*Tabela25[[#This Row],[PREÇO PRATICADO]]</f>
        <v>0</v>
      </c>
      <c r="P325" s="26">
        <f>Tabela25[[#This Row],[QUANT. VENDA]]*Tabela25[[#This Row],[CUSTO]]</f>
        <v>0</v>
      </c>
      <c r="Q325" s="27">
        <f>Tabela25[[#This Row],[CUSTO]]/Tabela25[[#This Row],[PREÇO PRATICADO]]</f>
        <v>0.30020549099999994</v>
      </c>
    </row>
    <row r="326" spans="1:17" ht="15" customHeight="1" x14ac:dyDescent="0.3">
      <c r="A326" s="17">
        <v>102100009</v>
      </c>
      <c r="B326" s="18">
        <v>1021</v>
      </c>
      <c r="C326" s="28" t="s">
        <v>350</v>
      </c>
      <c r="D326" s="86" t="s">
        <v>353</v>
      </c>
      <c r="E326" s="20">
        <v>15</v>
      </c>
      <c r="F326" s="20">
        <v>17</v>
      </c>
      <c r="G326" s="21">
        <f>VLOOKUP(Tabela25[[#This Row],[CÓDIGO]],'[1]Estrutura Loja'!$B$3:$M$2941,5,0)</f>
        <v>17.006281888489209</v>
      </c>
      <c r="H326" s="21">
        <f t="shared" si="5"/>
        <v>-2.0062818884892089</v>
      </c>
      <c r="I326" s="44">
        <v>15</v>
      </c>
      <c r="J32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0.16281690899999995</v>
      </c>
      <c r="K326" s="53">
        <f>Tabela25[[#This Row],[PREÇO PRATICADO]]*Tabela25[[#This Row],[LUCRO REAL %]]</f>
        <v>2.4422536349999993</v>
      </c>
      <c r="L326" s="24"/>
      <c r="M326" s="54">
        <f>IF(Tabela25[[#This Row],[QUANT. VENDA]]=0,0,((Tabela25[[#This Row],[CUSTO]]*Tabela25[[#This Row],[QUANT. VENDA]])/(Tabela25[[#This Row],[QUANT. VENDA]]*Tabela25[[#This Row],[PREÇO PRATICADO]])))</f>
        <v>0</v>
      </c>
      <c r="N326" s="26">
        <f>VLOOKUP(Tabela25[[#This Row],[CÓDIGO]],'[1]Estrutura Loja'!$B$3:$E$1825,4,0)</f>
        <v>4.7277463650000007</v>
      </c>
      <c r="O326" s="26">
        <f>Tabela25[[#This Row],[QUANT. VENDA]]*Tabela25[[#This Row],[PREÇO PRATICADO]]</f>
        <v>0</v>
      </c>
      <c r="P326" s="26">
        <f>Tabela25[[#This Row],[QUANT. VENDA]]*Tabela25[[#This Row],[CUSTO]]</f>
        <v>0</v>
      </c>
      <c r="Q326" s="27">
        <f>Tabela25[[#This Row],[CUSTO]]/Tabela25[[#This Row],[PREÇO PRATICADO]]</f>
        <v>0.31518309100000003</v>
      </c>
    </row>
    <row r="327" spans="1:17" ht="15" customHeight="1" x14ac:dyDescent="0.3">
      <c r="A327" s="42">
        <v>102100014</v>
      </c>
      <c r="B327" s="18">
        <v>1021</v>
      </c>
      <c r="C327" s="28" t="s">
        <v>350</v>
      </c>
      <c r="D327" t="s">
        <v>354</v>
      </c>
      <c r="E327" s="36">
        <v>20</v>
      </c>
      <c r="F327" s="36">
        <v>22</v>
      </c>
      <c r="G327" s="37">
        <f>VLOOKUP(Tabela25[[#This Row],[CÓDIGO]],'[1]Estrutura Loja'!$B$3:$M$2941,5,0)</f>
        <v>21.456825624357656</v>
      </c>
      <c r="H327" s="37">
        <f t="shared" si="5"/>
        <v>-1.4568256243576556</v>
      </c>
      <c r="I327" s="36">
        <v>20</v>
      </c>
      <c r="J327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0.17975012382142846</v>
      </c>
      <c r="K327" s="53">
        <f>Tabela25[[#This Row],[PREÇO PRATICADO]]*Tabela25[[#This Row],[LUCRO REAL %]]</f>
        <v>3.5950024764285695</v>
      </c>
      <c r="L327" s="38"/>
      <c r="M327" s="67">
        <f>IF(Tabela25[[#This Row],[QUANT. VENDA]]=0,0,((Tabela25[[#This Row],[CUSTO]]*Tabela25[[#This Row],[QUANT. VENDA]])/(Tabela25[[#This Row],[QUANT. VENDA]]*Tabela25[[#This Row],[PREÇO PRATICADO]])))</f>
        <v>0</v>
      </c>
      <c r="N327" s="48">
        <f>VLOOKUP(Tabela25[[#This Row],[CÓDIGO]],'[1]Estrutura Loja'!$B$3:$E$1825,4,0)</f>
        <v>5.9649975235714292</v>
      </c>
      <c r="O327" s="39">
        <f>Tabela25[[#This Row],[QUANT. VENDA]]*Tabela25[[#This Row],[PREÇO PRATICADO]]</f>
        <v>0</v>
      </c>
      <c r="P327" s="39">
        <f>Tabela25[[#This Row],[QUANT. VENDA]]*Tabela25[[#This Row],[CUSTO]]</f>
        <v>0</v>
      </c>
      <c r="Q327" s="56">
        <f>Tabela25[[#This Row],[CUSTO]]/Tabela25[[#This Row],[PREÇO PRATICADO]]</f>
        <v>0.29824987617857146</v>
      </c>
    </row>
    <row r="328" spans="1:17" ht="15" customHeight="1" x14ac:dyDescent="0.3">
      <c r="A328" s="42">
        <v>102100015</v>
      </c>
      <c r="B328" s="18">
        <v>1021</v>
      </c>
      <c r="C328" s="28" t="s">
        <v>350</v>
      </c>
      <c r="D328" t="s">
        <v>355</v>
      </c>
      <c r="E328" s="36">
        <v>15</v>
      </c>
      <c r="F328" s="36">
        <v>17</v>
      </c>
      <c r="G328" s="37">
        <f>VLOOKUP(Tabela25[[#This Row],[CÓDIGO]],'[1]Estrutura Loja'!$B$3:$M$2941,5,0)</f>
        <v>14.162863651079135</v>
      </c>
      <c r="H328" s="37">
        <f t="shared" si="5"/>
        <v>0.83713634892086475</v>
      </c>
      <c r="I328" s="44">
        <v>15</v>
      </c>
      <c r="J328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0.215514927</v>
      </c>
      <c r="K328" s="53">
        <f>Tabela25[[#This Row],[PREÇO PRATICADO]]*Tabela25[[#This Row],[LUCRO REAL %]]</f>
        <v>3.2327239049999998</v>
      </c>
      <c r="L328" s="38"/>
      <c r="M328" s="67">
        <f>IF(Tabela25[[#This Row],[QUANT. VENDA]]=0,0,((Tabela25[[#This Row],[CUSTO]]*Tabela25[[#This Row],[QUANT. VENDA]])/(Tabela25[[#This Row],[QUANT. VENDA]]*Tabela25[[#This Row],[PREÇO PRATICADO]])))</f>
        <v>0</v>
      </c>
      <c r="N328" s="48">
        <f>VLOOKUP(Tabela25[[#This Row],[CÓDIGO]],'[1]Estrutura Loja'!$B$3:$E$1825,4,0)</f>
        <v>3.9372760950000001</v>
      </c>
      <c r="O328" s="39">
        <f>Tabela25[[#This Row],[QUANT. VENDA]]*Tabela25[[#This Row],[PREÇO PRATICADO]]</f>
        <v>0</v>
      </c>
      <c r="P328" s="39">
        <f>Tabela25[[#This Row],[QUANT. VENDA]]*Tabela25[[#This Row],[CUSTO]]</f>
        <v>0</v>
      </c>
      <c r="Q328" s="56">
        <f>Tabela25[[#This Row],[CUSTO]]/Tabela25[[#This Row],[PREÇO PRATICADO]]</f>
        <v>0.26248507300000001</v>
      </c>
    </row>
    <row r="329" spans="1:17" ht="15" customHeight="1" x14ac:dyDescent="0.3">
      <c r="A329" s="17">
        <v>102100001</v>
      </c>
      <c r="B329" s="18">
        <v>1021</v>
      </c>
      <c r="C329" s="28" t="s">
        <v>350</v>
      </c>
      <c r="D329" s="90" t="s">
        <v>356</v>
      </c>
      <c r="E329" s="20">
        <v>15</v>
      </c>
      <c r="F329" s="20">
        <v>17</v>
      </c>
      <c r="G329" s="21">
        <f>VLOOKUP(Tabela25[[#This Row],[CÓDIGO]],'[1]Estrutura Loja'!$B$3:$M$2941,5,0)</f>
        <v>15.004216169064748</v>
      </c>
      <c r="H329" s="21">
        <f t="shared" si="5"/>
        <v>-4.2161690647475325E-3</v>
      </c>
      <c r="I329" s="44">
        <v>15</v>
      </c>
      <c r="J32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0.19992186033333331</v>
      </c>
      <c r="K329" s="53">
        <f>Tabela25[[#This Row],[PREÇO PRATICADO]]*Tabela25[[#This Row],[LUCRO REAL %]]</f>
        <v>2.9988279049999997</v>
      </c>
      <c r="L329" s="24"/>
      <c r="M329" s="54">
        <f>IF(Tabela25[[#This Row],[QUANT. VENDA]]=0,0,((Tabela25[[#This Row],[CUSTO]]*Tabela25[[#This Row],[QUANT. VENDA]])/(Tabela25[[#This Row],[QUANT. VENDA]]*Tabela25[[#This Row],[PREÇO PRATICADO]])))</f>
        <v>0</v>
      </c>
      <c r="N329" s="26">
        <f>VLOOKUP(Tabela25[[#This Row],[CÓDIGO]],'[1]Estrutura Loja'!$B$3:$E$1825,4,0)</f>
        <v>4.1711720950000002</v>
      </c>
      <c r="O329" s="26">
        <f>Tabela25[[#This Row],[QUANT. VENDA]]*Tabela25[[#This Row],[PREÇO PRATICADO]]</f>
        <v>0</v>
      </c>
      <c r="P329" s="26">
        <f>Tabela25[[#This Row],[QUANT. VENDA]]*Tabela25[[#This Row],[CUSTO]]</f>
        <v>0</v>
      </c>
      <c r="Q329" s="27">
        <f>Tabela25[[#This Row],[CUSTO]]/Tabela25[[#This Row],[PREÇO PRATICADO]]</f>
        <v>0.27807813966666667</v>
      </c>
    </row>
    <row r="330" spans="1:17" ht="15" customHeight="1" x14ac:dyDescent="0.3">
      <c r="A330" s="17">
        <v>102100005</v>
      </c>
      <c r="B330" s="18">
        <v>1021</v>
      </c>
      <c r="C330" s="28" t="s">
        <v>350</v>
      </c>
      <c r="D330" s="86" t="s">
        <v>357</v>
      </c>
      <c r="E330" s="20">
        <v>15</v>
      </c>
      <c r="F330" s="20">
        <v>17</v>
      </c>
      <c r="G330" s="21">
        <f>VLOOKUP(Tabela25[[#This Row],[CÓDIGO]],'[1]Estrutura Loja'!$B$3:$M$2941,5,0)</f>
        <v>14.180772523980815</v>
      </c>
      <c r="H330" s="21">
        <f t="shared" si="5"/>
        <v>0.81922747601918466</v>
      </c>
      <c r="I330" s="44">
        <v>15</v>
      </c>
      <c r="J33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0.21518301588888888</v>
      </c>
      <c r="K330" s="53">
        <f>Tabela25[[#This Row],[PREÇO PRATICADO]]*Tabela25[[#This Row],[LUCRO REAL %]]</f>
        <v>3.2277452383333332</v>
      </c>
      <c r="L330" s="24"/>
      <c r="M330" s="54">
        <f>IF(Tabela25[[#This Row],[QUANT. VENDA]]=0,0,((Tabela25[[#This Row],[CUSTO]]*Tabela25[[#This Row],[QUANT. VENDA]])/(Tabela25[[#This Row],[QUANT. VENDA]]*Tabela25[[#This Row],[PREÇO PRATICADO]])))</f>
        <v>0</v>
      </c>
      <c r="N330" s="26">
        <f>VLOOKUP(Tabela25[[#This Row],[CÓDIGO]],'[1]Estrutura Loja'!$B$3:$E$1825,4,0)</f>
        <v>3.9422547616666668</v>
      </c>
      <c r="O330" s="26">
        <f>Tabela25[[#This Row],[QUANT. VENDA]]*Tabela25[[#This Row],[PREÇO PRATICADO]]</f>
        <v>0</v>
      </c>
      <c r="P330" s="26">
        <f>Tabela25[[#This Row],[QUANT. VENDA]]*Tabela25[[#This Row],[CUSTO]]</f>
        <v>0</v>
      </c>
      <c r="Q330" s="27">
        <f>Tabela25[[#This Row],[CUSTO]]/Tabela25[[#This Row],[PREÇO PRATICADO]]</f>
        <v>0.2628169841111111</v>
      </c>
    </row>
    <row r="331" spans="1:17" ht="15" customHeight="1" x14ac:dyDescent="0.3">
      <c r="A331" s="17">
        <v>101900001</v>
      </c>
      <c r="B331" s="18">
        <v>1019</v>
      </c>
      <c r="C331" s="28" t="s">
        <v>350</v>
      </c>
      <c r="D331" s="90" t="s">
        <v>358</v>
      </c>
      <c r="E331" s="20">
        <v>13</v>
      </c>
      <c r="F331" s="20">
        <v>15</v>
      </c>
      <c r="G331" s="21">
        <f>VLOOKUP(Tabela25[[#This Row],[CÓDIGO]],'[1]Estrutura Loja'!$B$3:$M$2941,5,0)</f>
        <v>13.916560465056525</v>
      </c>
      <c r="H331" s="21">
        <f t="shared" si="5"/>
        <v>-0.91656046505652533</v>
      </c>
      <c r="I331" s="44">
        <v>13</v>
      </c>
      <c r="J33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0.18039970697802193</v>
      </c>
      <c r="K331" s="53">
        <f>Tabela25[[#This Row],[PREÇO PRATICADO]]*Tabela25[[#This Row],[LUCRO REAL %]]</f>
        <v>2.3451961907142853</v>
      </c>
      <c r="L331" s="24"/>
      <c r="M331" s="54">
        <f>IF(Tabela25[[#This Row],[QUANT. VENDA]]=0,0,((Tabela25[[#This Row],[CUSTO]]*Tabela25[[#This Row],[QUANT. VENDA]])/(Tabela25[[#This Row],[QUANT. VENDA]]*Tabela25[[#This Row],[PREÇO PRATICADO]])))</f>
        <v>0</v>
      </c>
      <c r="N331" s="26">
        <f>VLOOKUP(Tabela25[[#This Row],[CÓDIGO]],'[1]Estrutura Loja'!$B$3:$E$1825,4,0)</f>
        <v>3.8688038092857142</v>
      </c>
      <c r="O331" s="26">
        <f>Tabela25[[#This Row],[QUANT. VENDA]]*Tabela25[[#This Row],[PREÇO PRATICADO]]</f>
        <v>0</v>
      </c>
      <c r="P331" s="26">
        <f>Tabela25[[#This Row],[QUANT. VENDA]]*Tabela25[[#This Row],[CUSTO]]</f>
        <v>0</v>
      </c>
      <c r="Q331" s="94">
        <f>Tabela25[[#This Row],[CUSTO]]/Tabela25[[#This Row],[PREÇO PRATICADO]]</f>
        <v>0.29760029302197799</v>
      </c>
    </row>
    <row r="332" spans="1:17" ht="15" customHeight="1" x14ac:dyDescent="0.3">
      <c r="A332" s="17">
        <v>102100002</v>
      </c>
      <c r="B332" s="18">
        <v>1021</v>
      </c>
      <c r="C332" s="28" t="s">
        <v>350</v>
      </c>
      <c r="D332" s="86" t="s">
        <v>359</v>
      </c>
      <c r="E332" s="20">
        <v>15</v>
      </c>
      <c r="F332" s="20">
        <v>17</v>
      </c>
      <c r="G332" s="21">
        <f>VLOOKUP(Tabela25[[#This Row],[CÓDIGO]],'[1]Estrutura Loja'!$B$3:$M$2941,5,0)</f>
        <v>13.647284685680026</v>
      </c>
      <c r="H332" s="21">
        <f t="shared" si="5"/>
        <v>1.3527153143199744</v>
      </c>
      <c r="I332" s="44">
        <v>15</v>
      </c>
      <c r="J33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0.22507032382539682</v>
      </c>
      <c r="K332" s="53">
        <f>Tabela25[[#This Row],[PREÇO PRATICADO]]*Tabela25[[#This Row],[LUCRO REAL %]]</f>
        <v>3.3760548573809523</v>
      </c>
      <c r="L332" s="24"/>
      <c r="M332" s="54">
        <f>IF(Tabela25[[#This Row],[QUANT. VENDA]]=0,0,((Tabela25[[#This Row],[CUSTO]]*Tabela25[[#This Row],[QUANT. VENDA]])/(Tabela25[[#This Row],[QUANT. VENDA]]*Tabela25[[#This Row],[PREÇO PRATICADO]])))</f>
        <v>0</v>
      </c>
      <c r="N332" s="26">
        <f>VLOOKUP(Tabela25[[#This Row],[CÓDIGO]],'[1]Estrutura Loja'!$B$3:$E$1825,4,0)</f>
        <v>3.7939451426190476</v>
      </c>
      <c r="O332" s="26">
        <f>Tabela25[[#This Row],[QUANT. VENDA]]*Tabela25[[#This Row],[PREÇO PRATICADO]]</f>
        <v>0</v>
      </c>
      <c r="P332" s="26">
        <f>Tabela25[[#This Row],[QUANT. VENDA]]*Tabela25[[#This Row],[CUSTO]]</f>
        <v>0</v>
      </c>
      <c r="Q332" s="27">
        <f>Tabela25[[#This Row],[CUSTO]]/Tabela25[[#This Row],[PREÇO PRATICADO]]</f>
        <v>0.25292967617460316</v>
      </c>
    </row>
    <row r="333" spans="1:17" ht="15" customHeight="1" x14ac:dyDescent="0.3">
      <c r="A333" s="42">
        <v>102100012</v>
      </c>
      <c r="B333" s="18">
        <v>1021</v>
      </c>
      <c r="C333" s="28" t="s">
        <v>350</v>
      </c>
      <c r="D333" t="s">
        <v>360</v>
      </c>
      <c r="E333" s="36">
        <v>20</v>
      </c>
      <c r="F333" s="36">
        <v>22</v>
      </c>
      <c r="G333" s="45">
        <f>VLOOKUP(Tabela25[[#This Row],[CÓDIGO]],'[1]Estrutura Loja'!$B$3:$M$2941,5,0)</f>
        <v>20.400408015587534</v>
      </c>
      <c r="H333" s="37">
        <f t="shared" si="5"/>
        <v>-0.40040801558753358</v>
      </c>
      <c r="I333" s="36">
        <v>20</v>
      </c>
      <c r="J33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0.1944343285833332</v>
      </c>
      <c r="K333" s="23">
        <f>Tabela25[[#This Row],[PREÇO PRATICADO]]*Tabela25[[#This Row],[LUCRO REAL %]]</f>
        <v>3.8886865716666641</v>
      </c>
      <c r="L333" s="38"/>
      <c r="M333" s="54">
        <f>IF(Tabela25[[#This Row],[QUANT. VENDA]]=0,0,((Tabela25[[#This Row],[CUSTO]]*Tabela25[[#This Row],[QUANT. VENDA]])/(Tabela25[[#This Row],[QUANT. VENDA]]*Tabela25[[#This Row],[PREÇO PRATICADO]])))</f>
        <v>0</v>
      </c>
      <c r="N333" s="48">
        <f>VLOOKUP(Tabela25[[#This Row],[CÓDIGO]],'[1]Estrutura Loja'!$B$3:$E$1825,4,0)</f>
        <v>5.6713134283333346</v>
      </c>
      <c r="O333" s="39">
        <f>Tabela25[[#This Row],[QUANT. VENDA]]*Tabela25[[#This Row],[PREÇO PRATICADO]]</f>
        <v>0</v>
      </c>
      <c r="P333" s="39">
        <f>Tabela25[[#This Row],[QUANT. VENDA]]*Tabela25[[#This Row],[CUSTO]]</f>
        <v>0</v>
      </c>
      <c r="Q333" s="56">
        <f>Tabela25[[#This Row],[CUSTO]]/Tabela25[[#This Row],[PREÇO PRATICADO]]</f>
        <v>0.28356567141666672</v>
      </c>
    </row>
    <row r="334" spans="1:17" ht="15" customHeight="1" x14ac:dyDescent="0.3">
      <c r="A334" s="17">
        <v>102100007</v>
      </c>
      <c r="B334" s="18">
        <v>1021</v>
      </c>
      <c r="C334" s="28" t="s">
        <v>350</v>
      </c>
      <c r="D334" s="86" t="s">
        <v>361</v>
      </c>
      <c r="E334" s="20">
        <v>15</v>
      </c>
      <c r="F334" s="20">
        <v>17</v>
      </c>
      <c r="G334" s="21">
        <f>VLOOKUP(Tabela25[[#This Row],[CÓDIGO]],'[1]Estrutura Loja'!$B$3:$M$2941,5,0)</f>
        <v>14.73494038968825</v>
      </c>
      <c r="H334" s="21">
        <f t="shared" si="5"/>
        <v>0.2650596103117504</v>
      </c>
      <c r="I334" s="44">
        <v>15</v>
      </c>
      <c r="J33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0.20491243811111109</v>
      </c>
      <c r="K334" s="53">
        <f>Tabela25[[#This Row],[PREÇO PRATICADO]]*Tabela25[[#This Row],[LUCRO REAL %]]</f>
        <v>3.0736865716666664</v>
      </c>
      <c r="L334" s="24"/>
      <c r="M334" s="54">
        <f>IF(Tabela25[[#This Row],[QUANT. VENDA]]=0,0,((Tabela25[[#This Row],[CUSTO]]*Tabela25[[#This Row],[QUANT. VENDA]])/(Tabela25[[#This Row],[QUANT. VENDA]]*Tabela25[[#This Row],[PREÇO PRATICADO]])))</f>
        <v>0</v>
      </c>
      <c r="N334" s="26">
        <f>VLOOKUP(Tabela25[[#This Row],[CÓDIGO]],'[1]Estrutura Loja'!$B$3:$E$1825,4,0)</f>
        <v>4.0963134283333336</v>
      </c>
      <c r="O334" s="26">
        <f>Tabela25[[#This Row],[QUANT. VENDA]]*Tabela25[[#This Row],[PREÇO PRATICADO]]</f>
        <v>0</v>
      </c>
      <c r="P334" s="26">
        <f>Tabela25[[#This Row],[QUANT. VENDA]]*Tabela25[[#This Row],[CUSTO]]</f>
        <v>0</v>
      </c>
      <c r="Q334" s="27">
        <f>Tabela25[[#This Row],[CUSTO]]/Tabela25[[#This Row],[PREÇO PRATICADO]]</f>
        <v>0.27308756188888889</v>
      </c>
    </row>
    <row r="335" spans="1:17" ht="15" customHeight="1" x14ac:dyDescent="0.3">
      <c r="A335" s="17">
        <v>102100006</v>
      </c>
      <c r="B335" s="18">
        <v>1021</v>
      </c>
      <c r="C335" s="28" t="s">
        <v>350</v>
      </c>
      <c r="D335" s="86" t="s">
        <v>362</v>
      </c>
      <c r="E335" s="20">
        <v>15</v>
      </c>
      <c r="F335" s="20">
        <v>17</v>
      </c>
      <c r="G335" s="21">
        <f>VLOOKUP(Tabela25[[#This Row],[CÓDIGO]],'[1]Estrutura Loja'!$B$3:$M$2941,5,0)</f>
        <v>12.577089413326481</v>
      </c>
      <c r="H335" s="21">
        <f t="shared" si="5"/>
        <v>2.4229105866735186</v>
      </c>
      <c r="I335" s="44">
        <v>15</v>
      </c>
      <c r="J33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0.24490460953968254</v>
      </c>
      <c r="K335" s="53">
        <f>Tabela25[[#This Row],[PREÇO PRATICADO]]*Tabela25[[#This Row],[LUCRO REAL %]]</f>
        <v>3.673569143095238</v>
      </c>
      <c r="L335" s="24"/>
      <c r="M335" s="54">
        <f>IF(Tabela25[[#This Row],[QUANT. VENDA]]=0,0,((Tabela25[[#This Row],[CUSTO]]*Tabela25[[#This Row],[QUANT. VENDA]])/(Tabela25[[#This Row],[QUANT. VENDA]]*Tabela25[[#This Row],[PREÇO PRATICADO]])))</f>
        <v>0</v>
      </c>
      <c r="N335" s="26">
        <f>VLOOKUP(Tabela25[[#This Row],[CÓDIGO]],'[1]Estrutura Loja'!$B$3:$E$1825,4,0)</f>
        <v>3.496430856904762</v>
      </c>
      <c r="O335" s="26">
        <f>Tabela25[[#This Row],[QUANT. VENDA]]*Tabela25[[#This Row],[PREÇO PRATICADO]]</f>
        <v>0</v>
      </c>
      <c r="P335" s="26">
        <f>Tabela25[[#This Row],[QUANT. VENDA]]*Tabela25[[#This Row],[CUSTO]]</f>
        <v>0</v>
      </c>
      <c r="Q335" s="27">
        <f>Tabela25[[#This Row],[CUSTO]]/Tabela25[[#This Row],[PREÇO PRATICADO]]</f>
        <v>0.23309539046031746</v>
      </c>
    </row>
    <row r="336" spans="1:17" ht="15" customHeight="1" x14ac:dyDescent="0.3">
      <c r="A336" s="17">
        <v>102100003</v>
      </c>
      <c r="B336" s="18">
        <v>1021</v>
      </c>
      <c r="C336" s="28" t="s">
        <v>350</v>
      </c>
      <c r="D336" s="86" t="s">
        <v>363</v>
      </c>
      <c r="E336" s="20">
        <v>15</v>
      </c>
      <c r="F336" s="20">
        <v>17</v>
      </c>
      <c r="G336" s="21">
        <f>VLOOKUP(Tabela25[[#This Row],[CÓDIGO]],'[1]Estrutura Loja'!$B$3:$M$2941,5,0)</f>
        <v>14.144523466084275</v>
      </c>
      <c r="H336" s="21">
        <f t="shared" si="5"/>
        <v>0.85547653391572531</v>
      </c>
      <c r="I336" s="44">
        <v>15</v>
      </c>
      <c r="J33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0.21585483176190476</v>
      </c>
      <c r="K336" s="53">
        <f>Tabela25[[#This Row],[PREÇO PRATICADO]]*Tabela25[[#This Row],[LUCRO REAL %]]</f>
        <v>3.2378224764285712</v>
      </c>
      <c r="L336" s="24"/>
      <c r="M336" s="54">
        <f>IF(Tabela25[[#This Row],[QUANT. VENDA]]=0,0,((Tabela25[[#This Row],[CUSTO]]*Tabela25[[#This Row],[QUANT. VENDA]])/(Tabela25[[#This Row],[QUANT. VENDA]]*Tabela25[[#This Row],[PREÇO PRATICADO]])))</f>
        <v>0</v>
      </c>
      <c r="N336" s="26">
        <f>VLOOKUP(Tabela25[[#This Row],[CÓDIGO]],'[1]Estrutura Loja'!$B$3:$E$1825,4,0)</f>
        <v>3.9321775235714287</v>
      </c>
      <c r="O336" s="26">
        <f>Tabela25[[#This Row],[QUANT. VENDA]]*Tabela25[[#This Row],[PREÇO PRATICADO]]</f>
        <v>0</v>
      </c>
      <c r="P336" s="26">
        <f>Tabela25[[#This Row],[QUANT. VENDA]]*Tabela25[[#This Row],[CUSTO]]</f>
        <v>0</v>
      </c>
      <c r="Q336" s="27">
        <f>Tabela25[[#This Row],[CUSTO]]/Tabela25[[#This Row],[PREÇO PRATICADO]]</f>
        <v>0.26214516823809525</v>
      </c>
    </row>
    <row r="337" spans="1:17" ht="15" customHeight="1" x14ac:dyDescent="0.3">
      <c r="A337" s="42">
        <v>102100013</v>
      </c>
      <c r="B337" s="18">
        <v>1021</v>
      </c>
      <c r="C337" s="28" t="s">
        <v>350</v>
      </c>
      <c r="D337" t="s">
        <v>364</v>
      </c>
      <c r="E337" s="36">
        <v>20</v>
      </c>
      <c r="F337" s="36">
        <v>22</v>
      </c>
      <c r="G337" s="45">
        <f>VLOOKUP(Tabela25[[#This Row],[CÓDIGO]],'[1]Estrutura Loja'!$B$3:$M$2941,5,0)</f>
        <v>23.562611852517986</v>
      </c>
      <c r="H337" s="37">
        <f t="shared" si="5"/>
        <v>-3.5626118525179855</v>
      </c>
      <c r="I337" s="36">
        <v>20</v>
      </c>
      <c r="J33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0.15047969524999991</v>
      </c>
      <c r="K337" s="23">
        <f>Tabela25[[#This Row],[PREÇO PRATICADO]]*Tabela25[[#This Row],[LUCRO REAL %]]</f>
        <v>3.0095939049999982</v>
      </c>
      <c r="L337" s="38"/>
      <c r="M337" s="54">
        <f>IF(Tabela25[[#This Row],[QUANT. VENDA]]=0,0,((Tabela25[[#This Row],[CUSTO]]*Tabela25[[#This Row],[QUANT. VENDA]])/(Tabela25[[#This Row],[QUANT. VENDA]]*Tabela25[[#This Row],[PREÇO PRATICADO]])))</f>
        <v>0</v>
      </c>
      <c r="N337" s="48">
        <f>VLOOKUP(Tabela25[[#This Row],[CÓDIGO]],'[1]Estrutura Loja'!$B$3:$E$1825,4,0)</f>
        <v>6.5504060950000005</v>
      </c>
      <c r="O337" s="39">
        <f>Tabela25[[#This Row],[QUANT. VENDA]]*Tabela25[[#This Row],[PREÇO PRATICADO]]</f>
        <v>0</v>
      </c>
      <c r="P337" s="39">
        <f>Tabela25[[#This Row],[QUANT. VENDA]]*Tabela25[[#This Row],[CUSTO]]</f>
        <v>0</v>
      </c>
      <c r="Q337" s="56">
        <f>Tabela25[[#This Row],[CUSTO]]/Tabela25[[#This Row],[PREÇO PRATICADO]]</f>
        <v>0.32752030475000005</v>
      </c>
    </row>
    <row r="338" spans="1:17" ht="15" customHeight="1" x14ac:dyDescent="0.3">
      <c r="A338" s="17">
        <v>102100004</v>
      </c>
      <c r="B338" s="18">
        <v>1021</v>
      </c>
      <c r="C338" s="28" t="s">
        <v>350</v>
      </c>
      <c r="D338" s="86" t="s">
        <v>365</v>
      </c>
      <c r="E338" s="20">
        <v>15</v>
      </c>
      <c r="F338" s="20">
        <v>17</v>
      </c>
      <c r="G338" s="21">
        <f>VLOOKUP(Tabela25[[#This Row],[CÓDIGO]],'[1]Estrutura Loja'!$B$3:$M$2941,5,0)</f>
        <v>18.745845970580678</v>
      </c>
      <c r="H338" s="21">
        <f t="shared" si="5"/>
        <v>-3.7458459705806781</v>
      </c>
      <c r="I338" s="44">
        <v>15</v>
      </c>
      <c r="J33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0.1305769880119047</v>
      </c>
      <c r="K338" s="53">
        <f>Tabela25[[#This Row],[PREÇO PRATICADO]]*Tabela25[[#This Row],[LUCRO REAL %]]</f>
        <v>1.9586548201785705</v>
      </c>
      <c r="L338" s="24"/>
      <c r="M338" s="54">
        <f>IF(Tabela25[[#This Row],[QUANT. VENDA]]=0,0,((Tabela25[[#This Row],[CUSTO]]*Tabela25[[#This Row],[QUANT. VENDA]])/(Tabela25[[#This Row],[QUANT. VENDA]]*Tabela25[[#This Row],[PREÇO PRATICADO]])))</f>
        <v>0</v>
      </c>
      <c r="N338" s="26">
        <f>VLOOKUP(Tabela25[[#This Row],[CÓDIGO]],'[1]Estrutura Loja'!$B$3:$E$1825,4,0)</f>
        <v>5.2113451798214294</v>
      </c>
      <c r="O338" s="26">
        <f>Tabela25[[#This Row],[QUANT. VENDA]]*Tabela25[[#This Row],[PREÇO PRATICADO]]</f>
        <v>0</v>
      </c>
      <c r="P338" s="26">
        <f>Tabela25[[#This Row],[QUANT. VENDA]]*Tabela25[[#This Row],[CUSTO]]</f>
        <v>0</v>
      </c>
      <c r="Q338" s="27">
        <f>Tabela25[[#This Row],[CUSTO]]/Tabela25[[#This Row],[PREÇO PRATICADO]]</f>
        <v>0.34742301198809528</v>
      </c>
    </row>
    <row r="339" spans="1:17" ht="15" customHeight="1" x14ac:dyDescent="0.3">
      <c r="A339" s="42">
        <v>102100011</v>
      </c>
      <c r="B339" s="18">
        <v>1021</v>
      </c>
      <c r="C339" s="28" t="s">
        <v>350</v>
      </c>
      <c r="D339" t="s">
        <v>366</v>
      </c>
      <c r="E339" s="20">
        <v>15</v>
      </c>
      <c r="F339" s="20">
        <v>17</v>
      </c>
      <c r="G339" s="21">
        <f>VLOOKUP(Tabela25[[#This Row],[CÓDIGO]],'[1]Estrutura Loja'!$B$3:$M$2941,5,0)</f>
        <v>14.913494689105859</v>
      </c>
      <c r="H339" s="37">
        <f t="shared" si="5"/>
        <v>8.6505310894141374E-2</v>
      </c>
      <c r="I339" s="44">
        <v>15</v>
      </c>
      <c r="J339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0.20160323176190473</v>
      </c>
      <c r="K339" s="53">
        <f>Tabela25[[#This Row],[PREÇO PRATICADO]]*Tabela25[[#This Row],[LUCRO REAL %]]</f>
        <v>3.0240484764285709</v>
      </c>
      <c r="L339" s="24"/>
      <c r="M339" s="54">
        <f>IF(Tabela25[[#This Row],[QUANT. VENDA]]=0,0,((Tabela25[[#This Row],[CUSTO]]*Tabela25[[#This Row],[QUANT. VENDA]])/(Tabela25[[#This Row],[QUANT. VENDA]]*Tabela25[[#This Row],[PREÇO PRATICADO]])))</f>
        <v>0</v>
      </c>
      <c r="N339" s="48">
        <f>VLOOKUP(Tabela25[[#This Row],[CÓDIGO]],'[1]Estrutura Loja'!$B$3:$E$1825,4,0)</f>
        <v>4.145951523571429</v>
      </c>
      <c r="O339" s="39">
        <f>Tabela25[[#This Row],[QUANT. VENDA]]*Tabela25[[#This Row],[PREÇO PRATICADO]]</f>
        <v>0</v>
      </c>
      <c r="P339" s="39">
        <f>Tabela25[[#This Row],[QUANT. VENDA]]*Tabela25[[#This Row],[CUSTO]]</f>
        <v>0</v>
      </c>
      <c r="Q339" s="56">
        <f>Tabela25[[#This Row],[CUSTO]]/Tabela25[[#This Row],[PREÇO PRATICADO]]</f>
        <v>0.27639676823809528</v>
      </c>
    </row>
    <row r="340" spans="1:17" ht="15" customHeight="1" x14ac:dyDescent="0.3">
      <c r="A340" s="42">
        <v>100700017</v>
      </c>
      <c r="B340" s="28">
        <v>1007</v>
      </c>
      <c r="C340" s="28" t="s">
        <v>367</v>
      </c>
      <c r="D340" s="43" t="s">
        <v>368</v>
      </c>
      <c r="E340" s="36">
        <v>19</v>
      </c>
      <c r="F340" s="36">
        <v>21</v>
      </c>
      <c r="G340" s="21">
        <f>VLOOKUP(Tabela25[[#This Row],[CÓDIGO]],'[1]Estrutura Loja'!$B$3:$M$2941,5,0)</f>
        <v>15.653495851318942</v>
      </c>
      <c r="H340" s="37">
        <f t="shared" si="5"/>
        <v>3.3465041486810581</v>
      </c>
      <c r="I340" s="36">
        <v>19</v>
      </c>
      <c r="J34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0.24896463964912277</v>
      </c>
      <c r="K340" s="53">
        <f>Tabela25[[#This Row],[PREÇO PRATICADO]]*Tabela25[[#This Row],[LUCRO REAL %]]</f>
        <v>4.7303281533333328</v>
      </c>
      <c r="L340" s="24"/>
      <c r="M340" s="54">
        <f>IF(Tabela25[[#This Row],[QUANT. VENDA]]=0,0,((Tabela25[[#This Row],[CUSTO]]*Tabela25[[#This Row],[QUANT. VENDA]])/(Tabela25[[#This Row],[QUANT. VENDA]]*Tabela25[[#This Row],[PREÇO PRATICADO]])))</f>
        <v>0</v>
      </c>
      <c r="N340" s="39">
        <f>VLOOKUP(Tabela25[[#This Row],[CÓDIGO]],'[1]Estrutura Loja'!$B$3:$E$1825,4,0)</f>
        <v>4.3516718466666662</v>
      </c>
      <c r="O340" s="39">
        <f>Tabela25[[#This Row],[QUANT. VENDA]]*Tabela25[[#This Row],[PREÇO PRATICADO]]</f>
        <v>0</v>
      </c>
      <c r="P340" s="39">
        <f>Tabela25[[#This Row],[QUANT. VENDA]]*Tabela25[[#This Row],[CUSTO]]</f>
        <v>0</v>
      </c>
      <c r="Q340" s="49">
        <f>Tabela25[[#This Row],[CUSTO]]/Tabela25[[#This Row],[PREÇO PRATICADO]]</f>
        <v>0.22903536035087715</v>
      </c>
    </row>
    <row r="341" spans="1:17" ht="15" customHeight="1" x14ac:dyDescent="0.3">
      <c r="A341" s="42">
        <v>100700022</v>
      </c>
      <c r="B341" s="28">
        <v>1007</v>
      </c>
      <c r="C341" s="28" t="s">
        <v>367</v>
      </c>
      <c r="D341" s="43" t="s">
        <v>369</v>
      </c>
      <c r="E341" s="36">
        <v>19</v>
      </c>
      <c r="F341" s="36">
        <v>21</v>
      </c>
      <c r="G341" s="21">
        <f>VLOOKUP(Tabela25[[#This Row],[CÓDIGO]],'[1]Estrutura Loja'!$B$3:$M$2941,5,0)</f>
        <v>21.169179424460431</v>
      </c>
      <c r="H341" s="37">
        <f t="shared" si="5"/>
        <v>-2.169179424460431</v>
      </c>
      <c r="I341" s="36">
        <v>19</v>
      </c>
      <c r="J34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0.16826147999999991</v>
      </c>
      <c r="K341" s="46">
        <f>Tabela25[[#This Row],[PREÇO PRATICADO]]*Tabela25[[#This Row],[LUCRO REAL %]]</f>
        <v>3.1969681199999984</v>
      </c>
      <c r="L341" s="24"/>
      <c r="M341" s="54">
        <f>IF(Tabela25[[#This Row],[QUANT. VENDA]]=0,0,((Tabela25[[#This Row],[CUSTO]]*Tabela25[[#This Row],[QUANT. VENDA]])/(Tabela25[[#This Row],[QUANT. VENDA]]*Tabela25[[#This Row],[PREÇO PRATICADO]])))</f>
        <v>0</v>
      </c>
      <c r="N341" s="39">
        <f>VLOOKUP(Tabela25[[#This Row],[CÓDIGO]],'[1]Estrutura Loja'!$B$3:$E$1825,4,0)</f>
        <v>5.8850318800000005</v>
      </c>
      <c r="O341" s="39">
        <f>Tabela25[[#This Row],[QUANT. VENDA]]*Tabela25[[#This Row],[PREÇO PRATICADO]]</f>
        <v>0</v>
      </c>
      <c r="P341" s="39">
        <f>Tabela25[[#This Row],[QUANT. VENDA]]*Tabela25[[#This Row],[CUSTO]]</f>
        <v>0</v>
      </c>
      <c r="Q341" s="56">
        <f>Tabela25[[#This Row],[CUSTO]]/Tabela25[[#This Row],[PREÇO PRATICADO]]</f>
        <v>0.30973852000000002</v>
      </c>
    </row>
    <row r="342" spans="1:17" ht="15" customHeight="1" x14ac:dyDescent="0.3">
      <c r="A342" s="42">
        <v>100700018</v>
      </c>
      <c r="B342" s="28">
        <v>1007</v>
      </c>
      <c r="C342" s="28" t="s">
        <v>367</v>
      </c>
      <c r="D342" s="43" t="s">
        <v>370</v>
      </c>
      <c r="E342" s="36">
        <v>19</v>
      </c>
      <c r="F342" s="36">
        <v>21</v>
      </c>
      <c r="G342" s="21">
        <f>VLOOKUP(Tabela25[[#This Row],[CÓDIGO]],'[1]Estrutura Loja'!$B$3:$M$2941,5,0)</f>
        <v>21.977323309352521</v>
      </c>
      <c r="H342" s="37">
        <f t="shared" si="5"/>
        <v>-2.9773233093525207</v>
      </c>
      <c r="I342" s="36">
        <v>19</v>
      </c>
      <c r="J34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0.15643705894736831</v>
      </c>
      <c r="K342" s="46">
        <f>Tabela25[[#This Row],[PREÇO PRATICADO]]*Tabela25[[#This Row],[LUCRO REAL %]]</f>
        <v>2.9723041199999978</v>
      </c>
      <c r="L342" s="24"/>
      <c r="M342" s="54">
        <f>IF(Tabela25[[#This Row],[QUANT. VENDA]]=0,0,((Tabela25[[#This Row],[CUSTO]]*Tabela25[[#This Row],[QUANT. VENDA]])/(Tabela25[[#This Row],[QUANT. VENDA]]*Tabela25[[#This Row],[PREÇO PRATICADO]])))</f>
        <v>0</v>
      </c>
      <c r="N342" s="48">
        <f>VLOOKUP(Tabela25[[#This Row],[CÓDIGO]],'[1]Estrutura Loja'!$B$3:$E$1825,4,0)</f>
        <v>6.1096958800000012</v>
      </c>
      <c r="O342" s="48">
        <f>Tabela25[[#This Row],[QUANT. VENDA]]*Tabela25[[#This Row],[PREÇO PRATICADO]]</f>
        <v>0</v>
      </c>
      <c r="P342" s="48">
        <f>Tabela25[[#This Row],[QUANT. VENDA]]*Tabela25[[#This Row],[CUSTO]]</f>
        <v>0</v>
      </c>
      <c r="Q342" s="49">
        <f>Tabela25[[#This Row],[CUSTO]]/Tabela25[[#This Row],[PREÇO PRATICADO]]</f>
        <v>0.32156294105263167</v>
      </c>
    </row>
    <row r="343" spans="1:17" ht="15" customHeight="1" x14ac:dyDescent="0.3">
      <c r="A343" s="66">
        <v>100700049</v>
      </c>
      <c r="B343" s="34">
        <v>1007</v>
      </c>
      <c r="C343" s="28" t="s">
        <v>367</v>
      </c>
      <c r="D343" t="s">
        <v>371</v>
      </c>
      <c r="E343" s="36">
        <v>23</v>
      </c>
      <c r="F343" s="36">
        <v>25</v>
      </c>
      <c r="G343" s="37">
        <f>VLOOKUP(Tabela25[[#This Row],[CÓDIGO]],'[1]Estrutura Loja'!$B$3:$M$2941,5,0)</f>
        <v>26.142626032887975</v>
      </c>
      <c r="H343" s="37">
        <f t="shared" si="5"/>
        <v>-3.1426260328879749</v>
      </c>
      <c r="I343" s="36">
        <v>23</v>
      </c>
      <c r="J343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0.16201521577639749</v>
      </c>
      <c r="K343" s="53">
        <f>Tabela25[[#This Row],[PREÇO PRATICADO]]*Tabela25[[#This Row],[LUCRO REAL %]]</f>
        <v>3.7263499628571424</v>
      </c>
      <c r="L343" s="38"/>
      <c r="M343" s="67">
        <f>IF(Tabela25[[#This Row],[QUANT. VENDA]]=0,0,((Tabela25[[#This Row],[CUSTO]]*Tabela25[[#This Row],[QUANT. VENDA]])/(Tabela25[[#This Row],[QUANT. VENDA]]*Tabela25[[#This Row],[PREÇO PRATICADO]])))</f>
        <v>0</v>
      </c>
      <c r="N343" s="39">
        <f>VLOOKUP(Tabela25[[#This Row],[CÓDIGO]],'[1]Estrutura Loja'!$B$3:$E$1825,4,0)</f>
        <v>7.2676500371428574</v>
      </c>
      <c r="O343" s="39">
        <f>Tabela25[[#This Row],[QUANT. VENDA]]*Tabela25[[#This Row],[PREÇO PRATICADO]]</f>
        <v>0</v>
      </c>
      <c r="P343" s="39">
        <f>Tabela25[[#This Row],[QUANT. VENDA]]*Tabela25[[#This Row],[CUSTO]]</f>
        <v>0</v>
      </c>
      <c r="Q343" s="55">
        <f>Tabela25[[#This Row],[CUSTO]]/Tabela25[[#This Row],[PREÇO PRATICADO]]</f>
        <v>0.31598478422360249</v>
      </c>
    </row>
    <row r="344" spans="1:17" ht="15" customHeight="1" x14ac:dyDescent="0.3">
      <c r="A344" s="66">
        <v>100700051</v>
      </c>
      <c r="B344" s="34">
        <v>1007</v>
      </c>
      <c r="C344" s="28" t="s">
        <v>367</v>
      </c>
      <c r="D344" t="s">
        <v>372</v>
      </c>
      <c r="E344" s="36">
        <v>23</v>
      </c>
      <c r="F344" s="36">
        <v>25</v>
      </c>
      <c r="G344" s="37">
        <f>VLOOKUP(Tabela25[[#This Row],[CÓDIGO]],'[1]Estrutura Loja'!$B$3:$M$2941,5,0)</f>
        <v>22.660817194244604</v>
      </c>
      <c r="H344" s="37">
        <f t="shared" si="5"/>
        <v>0.33918280575539583</v>
      </c>
      <c r="I344" s="36">
        <v>23</v>
      </c>
      <c r="J344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0.20409968782608692</v>
      </c>
      <c r="K344" s="53">
        <f>Tabela25[[#This Row],[PREÇO PRATICADO]]*Tabela25[[#This Row],[LUCRO REAL %]]</f>
        <v>4.6942928199999994</v>
      </c>
      <c r="L344" s="38"/>
      <c r="M344" s="67">
        <f>IF(Tabela25[[#This Row],[QUANT. VENDA]]=0,0,((Tabela25[[#This Row],[CUSTO]]*Tabela25[[#This Row],[QUANT. VENDA]])/(Tabela25[[#This Row],[QUANT. VENDA]]*Tabela25[[#This Row],[PREÇO PRATICADO]])))</f>
        <v>0</v>
      </c>
      <c r="N344" s="39">
        <f>VLOOKUP(Tabela25[[#This Row],[CÓDIGO]],'[1]Estrutura Loja'!$B$3:$E$1825,4,0)</f>
        <v>6.2997071800000004</v>
      </c>
      <c r="O344" s="39">
        <f>Tabela25[[#This Row],[QUANT. VENDA]]*Tabela25[[#This Row],[PREÇO PRATICADO]]</f>
        <v>0</v>
      </c>
      <c r="P344" s="39">
        <f>Tabela25[[#This Row],[QUANT. VENDA]]*Tabela25[[#This Row],[CUSTO]]</f>
        <v>0</v>
      </c>
      <c r="Q344" s="55">
        <f>Tabela25[[#This Row],[CUSTO]]/Tabela25[[#This Row],[PREÇO PRATICADO]]</f>
        <v>0.27390031217391309</v>
      </c>
    </row>
    <row r="345" spans="1:17" ht="15" customHeight="1" x14ac:dyDescent="0.3">
      <c r="A345" s="66">
        <v>100700053</v>
      </c>
      <c r="B345" s="34">
        <v>1007</v>
      </c>
      <c r="C345" s="28" t="s">
        <v>367</v>
      </c>
      <c r="D345" t="s">
        <v>373</v>
      </c>
      <c r="E345" s="36">
        <v>19</v>
      </c>
      <c r="F345" s="36">
        <v>21</v>
      </c>
      <c r="G345" s="37">
        <f>VLOOKUP(Tabela25[[#This Row],[CÓDIGO]],'[1]Estrutura Loja'!$B$3:$M$2941,5,0)</f>
        <v>18.132670230215826</v>
      </c>
      <c r="H345" s="37">
        <f t="shared" si="5"/>
        <v>0.86732976978417398</v>
      </c>
      <c r="I345" s="36">
        <v>19</v>
      </c>
      <c r="J345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0.21269040399999994</v>
      </c>
      <c r="K345" s="53">
        <f>Tabela25[[#This Row],[PREÇO PRATICADO]]*Tabela25[[#This Row],[LUCRO REAL %]]</f>
        <v>4.0411176759999989</v>
      </c>
      <c r="L345" s="38"/>
      <c r="M345" s="67">
        <f>IF(Tabela25[[#This Row],[QUANT. VENDA]]=0,0,((Tabela25[[#This Row],[CUSTO]]*Tabela25[[#This Row],[QUANT. VENDA]])/(Tabela25[[#This Row],[QUANT. VENDA]]*Tabela25[[#This Row],[PREÇO PRATICADO]])))</f>
        <v>0</v>
      </c>
      <c r="N345" s="39">
        <f>VLOOKUP(Tabela25[[#This Row],[CÓDIGO]],'[1]Estrutura Loja'!$B$3:$E$1825,4,0)</f>
        <v>5.040882324</v>
      </c>
      <c r="O345" s="39">
        <f>Tabela25[[#This Row],[QUANT. VENDA]]*Tabela25[[#This Row],[PREÇO PRATICADO]]</f>
        <v>0</v>
      </c>
      <c r="P345" s="39">
        <f>Tabela25[[#This Row],[QUANT. VENDA]]*Tabela25[[#This Row],[CUSTO]]</f>
        <v>0</v>
      </c>
      <c r="Q345" s="55">
        <f>Tabela25[[#This Row],[CUSTO]]/Tabela25[[#This Row],[PREÇO PRATICADO]]</f>
        <v>0.26530959599999998</v>
      </c>
    </row>
    <row r="346" spans="1:17" ht="15" customHeight="1" x14ac:dyDescent="0.3">
      <c r="A346" s="42">
        <v>100700005</v>
      </c>
      <c r="B346" s="28">
        <v>1007</v>
      </c>
      <c r="C346" s="28" t="s">
        <v>367</v>
      </c>
      <c r="D346" s="43" t="s">
        <v>374</v>
      </c>
      <c r="E346" s="36">
        <v>19</v>
      </c>
      <c r="F346" s="36">
        <v>21</v>
      </c>
      <c r="G346" s="21">
        <f>VLOOKUP(Tabela25[[#This Row],[CÓDIGO]],'[1]Estrutura Loja'!$B$3:$M$2941,5,0)</f>
        <v>16.46163973621103</v>
      </c>
      <c r="H346" s="45">
        <f t="shared" si="5"/>
        <v>2.5383602637889702</v>
      </c>
      <c r="I346" s="36">
        <v>19</v>
      </c>
      <c r="J34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0.23714021859649118</v>
      </c>
      <c r="K346" s="53">
        <f>Tabela25[[#This Row],[PREÇO PRATICADO]]*Tabela25[[#This Row],[LUCRO REAL %]]</f>
        <v>4.5056641533333321</v>
      </c>
      <c r="L346" s="24"/>
      <c r="M346" s="54">
        <f>IF(Tabela25[[#This Row],[QUANT. VENDA]]=0,0,((Tabela25[[#This Row],[CUSTO]]*Tabela25[[#This Row],[QUANT. VENDA]])/(Tabela25[[#This Row],[QUANT. VENDA]]*Tabela25[[#This Row],[PREÇO PRATICADO]])))</f>
        <v>0</v>
      </c>
      <c r="N346" s="48">
        <f>VLOOKUP(Tabela25[[#This Row],[CÓDIGO]],'[1]Estrutura Loja'!$B$3:$E$1825,4,0)</f>
        <v>4.5763358466666668</v>
      </c>
      <c r="O346" s="48">
        <f>Tabela25[[#This Row],[QUANT. VENDA]]*Tabela25[[#This Row],[PREÇO PRATICADO]]</f>
        <v>0</v>
      </c>
      <c r="P346" s="48">
        <f>Tabela25[[#This Row],[QUANT. VENDA]]*Tabela25[[#This Row],[CUSTO]]</f>
        <v>0</v>
      </c>
      <c r="Q346" s="49">
        <f>Tabela25[[#This Row],[CUSTO]]/Tabela25[[#This Row],[PREÇO PRATICADO]]</f>
        <v>0.24085978140350878</v>
      </c>
    </row>
    <row r="347" spans="1:17" ht="15" customHeight="1" x14ac:dyDescent="0.3">
      <c r="A347" s="66">
        <v>100700052</v>
      </c>
      <c r="B347" s="34">
        <v>1007</v>
      </c>
      <c r="C347" s="28" t="s">
        <v>367</v>
      </c>
      <c r="D347" t="s">
        <v>375</v>
      </c>
      <c r="E347" s="36">
        <v>19</v>
      </c>
      <c r="F347" s="36">
        <v>21</v>
      </c>
      <c r="G347" s="37">
        <f>VLOOKUP(Tabela25[[#This Row],[CÓDIGO]],'[1]Estrutura Loja'!$B$3:$M$2941,5,0)</f>
        <v>17.029312569373072</v>
      </c>
      <c r="H347" s="37">
        <f t="shared" si="5"/>
        <v>1.9706874306269277</v>
      </c>
      <c r="I347" s="36">
        <v>19</v>
      </c>
      <c r="J347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0.22883426872180446</v>
      </c>
      <c r="K347" s="53">
        <f>Tabela25[[#This Row],[PREÇO PRATICADO]]*Tabela25[[#This Row],[LUCRO REAL %]]</f>
        <v>4.3478511057142848</v>
      </c>
      <c r="L347" s="38"/>
      <c r="M347" s="67">
        <f>IF(Tabela25[[#This Row],[QUANT. VENDA]]=0,0,((Tabela25[[#This Row],[CUSTO]]*Tabela25[[#This Row],[QUANT. VENDA]])/(Tabela25[[#This Row],[QUANT. VENDA]]*Tabela25[[#This Row],[PREÇO PRATICADO]])))</f>
        <v>0</v>
      </c>
      <c r="N347" s="39">
        <f>VLOOKUP(Tabela25[[#This Row],[CÓDIGO]],'[1]Estrutura Loja'!$B$3:$E$1825,4,0)</f>
        <v>4.7341488942857142</v>
      </c>
      <c r="O347" s="39">
        <f>Tabela25[[#This Row],[QUANT. VENDA]]*Tabela25[[#This Row],[PREÇO PRATICADO]]</f>
        <v>0</v>
      </c>
      <c r="P347" s="39">
        <f>Tabela25[[#This Row],[QUANT. VENDA]]*Tabela25[[#This Row],[CUSTO]]</f>
        <v>0</v>
      </c>
      <c r="Q347" s="55">
        <f>Tabela25[[#This Row],[CUSTO]]/Tabela25[[#This Row],[PREÇO PRATICADO]]</f>
        <v>0.2491657312781955</v>
      </c>
    </row>
    <row r="348" spans="1:17" ht="15" customHeight="1" x14ac:dyDescent="0.3">
      <c r="A348" s="42">
        <v>100700035</v>
      </c>
      <c r="B348" s="28">
        <v>1007</v>
      </c>
      <c r="C348" s="28" t="s">
        <v>367</v>
      </c>
      <c r="D348" t="s">
        <v>376</v>
      </c>
      <c r="E348" s="36">
        <v>19</v>
      </c>
      <c r="F348" s="36">
        <v>21</v>
      </c>
      <c r="G348" s="21">
        <f>VLOOKUP(Tabela25[[#This Row],[CÓDIGO]],'[1]Estrutura Loja'!$B$3:$M$2941,5,0)</f>
        <v>18.154530794792738</v>
      </c>
      <c r="H348" s="37">
        <f t="shared" si="5"/>
        <v>0.84546920520726232</v>
      </c>
      <c r="I348" s="36">
        <v>19</v>
      </c>
      <c r="J34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0.21237054942355882</v>
      </c>
      <c r="K348" s="53">
        <f>Tabela25[[#This Row],[PREÇO PRATICADO]]*Tabela25[[#This Row],[LUCRO REAL %]]</f>
        <v>4.0350404390476173</v>
      </c>
      <c r="L348" s="24"/>
      <c r="M348" s="54">
        <f>IF(Tabela25[[#This Row],[QUANT. VENDA]]=0,0,((Tabela25[[#This Row],[CUSTO]]*Tabela25[[#This Row],[QUANT. VENDA]])/(Tabela25[[#This Row],[QUANT. VENDA]]*Tabela25[[#This Row],[PREÇO PRATICADO]])))</f>
        <v>0</v>
      </c>
      <c r="N348" s="39">
        <f>VLOOKUP(Tabela25[[#This Row],[CÓDIGO]],'[1]Estrutura Loja'!$B$3:$E$1825,4,0)</f>
        <v>5.0469595609523816</v>
      </c>
      <c r="O348" s="39">
        <f>Tabela25[[#This Row],[QUANT. VENDA]]*Tabela25[[#This Row],[PREÇO PRATICADO]]</f>
        <v>0</v>
      </c>
      <c r="P348" s="39">
        <f>Tabela25[[#This Row],[QUANT. VENDA]]*Tabela25[[#This Row],[CUSTO]]</f>
        <v>0</v>
      </c>
      <c r="Q348" s="55">
        <f>Tabela25[[#This Row],[CUSTO]]/Tabela25[[#This Row],[PREÇO PRATICADO]]</f>
        <v>0.26562945057644116</v>
      </c>
    </row>
    <row r="349" spans="1:17" ht="15" customHeight="1" x14ac:dyDescent="0.3">
      <c r="A349" s="66">
        <v>100700045</v>
      </c>
      <c r="B349" s="34">
        <v>1007</v>
      </c>
      <c r="C349" s="28" t="s">
        <v>367</v>
      </c>
      <c r="D349" t="s">
        <v>377</v>
      </c>
      <c r="E349" s="36">
        <v>32</v>
      </c>
      <c r="F349" s="36">
        <v>35</v>
      </c>
      <c r="G349" s="37">
        <f>VLOOKUP(Tabela25[[#This Row],[CÓDIGO]],'[1]Estrutura Loja'!$B$3:$M$2941,5,0)</f>
        <v>31.358927505995204</v>
      </c>
      <c r="H349" s="37">
        <f t="shared" si="5"/>
        <v>0.6410724940047956</v>
      </c>
      <c r="I349" s="36">
        <v>32</v>
      </c>
      <c r="J349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0.20556931729166661</v>
      </c>
      <c r="K349" s="53">
        <f>Tabela25[[#This Row],[PREÇO PRATICADO]]*Tabela25[[#This Row],[LUCRO REAL %]]</f>
        <v>6.5782181533333315</v>
      </c>
      <c r="L349" s="38"/>
      <c r="M349" s="67">
        <f>IF(Tabela25[[#This Row],[QUANT. VENDA]]=0,0,((Tabela25[[#This Row],[CUSTO]]*Tabela25[[#This Row],[QUANT. VENDA]])/(Tabela25[[#This Row],[QUANT. VENDA]]*Tabela25[[#This Row],[PREÇO PRATICADO]])))</f>
        <v>0</v>
      </c>
      <c r="N349" s="39">
        <f>VLOOKUP(Tabela25[[#This Row],[CÓDIGO]],'[1]Estrutura Loja'!$B$3:$E$1825,4,0)</f>
        <v>8.7177818466666679</v>
      </c>
      <c r="O349" s="39">
        <f>Tabela25[[#This Row],[QUANT. VENDA]]*Tabela25[[#This Row],[PREÇO PRATICADO]]</f>
        <v>0</v>
      </c>
      <c r="P349" s="39">
        <f>Tabela25[[#This Row],[QUANT. VENDA]]*Tabela25[[#This Row],[CUSTO]]</f>
        <v>0</v>
      </c>
      <c r="Q349" s="55">
        <f>Tabela25[[#This Row],[CUSTO]]/Tabela25[[#This Row],[PREÇO PRATICADO]]</f>
        <v>0.27243068270833337</v>
      </c>
    </row>
    <row r="350" spans="1:17" ht="15" customHeight="1" x14ac:dyDescent="0.3">
      <c r="A350" s="42">
        <v>100700023</v>
      </c>
      <c r="B350" s="28">
        <v>1007</v>
      </c>
      <c r="C350" s="28" t="s">
        <v>367</v>
      </c>
      <c r="D350" s="43" t="s">
        <v>378</v>
      </c>
      <c r="E350" s="36">
        <v>19</v>
      </c>
      <c r="F350" s="36">
        <v>21</v>
      </c>
      <c r="G350" s="21">
        <f>VLOOKUP(Tabela25[[#This Row],[CÓDIGO]],'[1]Estrutura Loja'!$B$3:$M$2941,5,0)</f>
        <v>19.242186498800958</v>
      </c>
      <c r="H350" s="37">
        <f t="shared" si="5"/>
        <v>-0.24218649880095811</v>
      </c>
      <c r="I350" s="36">
        <v>19</v>
      </c>
      <c r="J35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0.19645642912280695</v>
      </c>
      <c r="K350" s="53">
        <f>Tabela25[[#This Row],[PREÇO PRATICADO]]*Tabela25[[#This Row],[LUCRO REAL %]]</f>
        <v>3.7326721533333318</v>
      </c>
      <c r="L350" s="24"/>
      <c r="M350" s="54">
        <f>IF(Tabela25[[#This Row],[QUANT. VENDA]]=0,0,((Tabela25[[#This Row],[CUSTO]]*Tabela25[[#This Row],[QUANT. VENDA]])/(Tabela25[[#This Row],[QUANT. VENDA]]*Tabela25[[#This Row],[PREÇO PRATICADO]])))</f>
        <v>0</v>
      </c>
      <c r="N350" s="39">
        <f>VLOOKUP(Tabela25[[#This Row],[CÓDIGO]],'[1]Estrutura Loja'!$B$3:$E$1825,4,0)</f>
        <v>5.3493278466666672</v>
      </c>
      <c r="O350" s="39">
        <f>Tabela25[[#This Row],[QUANT. VENDA]]*Tabela25[[#This Row],[PREÇO PRATICADO]]</f>
        <v>0</v>
      </c>
      <c r="P350" s="39">
        <f>Tabela25[[#This Row],[QUANT. VENDA]]*Tabela25[[#This Row],[CUSTO]]</f>
        <v>0</v>
      </c>
      <c r="Q350" s="55">
        <f>Tabela25[[#This Row],[CUSTO]]/Tabela25[[#This Row],[PREÇO PRATICADO]]</f>
        <v>0.28154357087719301</v>
      </c>
    </row>
    <row r="351" spans="1:17" ht="15" customHeight="1" x14ac:dyDescent="0.3">
      <c r="A351" s="42">
        <v>100700004</v>
      </c>
      <c r="B351" s="28">
        <v>1007</v>
      </c>
      <c r="C351" s="28" t="s">
        <v>367</v>
      </c>
      <c r="D351" s="43" t="s">
        <v>379</v>
      </c>
      <c r="E351" s="36">
        <v>19</v>
      </c>
      <c r="F351" s="36">
        <v>21</v>
      </c>
      <c r="G351" s="21">
        <f>VLOOKUP(Tabela25[[#This Row],[CÓDIGO]],'[1]Estrutura Loja'!$B$3:$M$2941,5,0)</f>
        <v>17.084335522439194</v>
      </c>
      <c r="H351" s="45">
        <f t="shared" si="5"/>
        <v>1.9156644775608065</v>
      </c>
      <c r="I351" s="36">
        <v>19</v>
      </c>
      <c r="J35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0.22802919604010016</v>
      </c>
      <c r="K351" s="53">
        <f>Tabela25[[#This Row],[PREÇO PRATICADO]]*Tabela25[[#This Row],[LUCRO REAL %]]</f>
        <v>4.332554724761903</v>
      </c>
      <c r="L351" s="24"/>
      <c r="M351" s="54">
        <f>IF(Tabela25[[#This Row],[QUANT. VENDA]]=0,0,((Tabela25[[#This Row],[CUSTO]]*Tabela25[[#This Row],[QUANT. VENDA]])/(Tabela25[[#This Row],[QUANT. VENDA]]*Tabela25[[#This Row],[PREÇO PRATICADO]])))</f>
        <v>0</v>
      </c>
      <c r="N351" s="48">
        <f>VLOOKUP(Tabela25[[#This Row],[CÓDIGO]],'[1]Estrutura Loja'!$B$3:$E$1825,4,0)</f>
        <v>4.749445275238096</v>
      </c>
      <c r="O351" s="48">
        <f>Tabela25[[#This Row],[QUANT. VENDA]]*Tabela25[[#This Row],[PREÇO PRATICADO]]</f>
        <v>0</v>
      </c>
      <c r="P351" s="48">
        <f>Tabela25[[#This Row],[QUANT. VENDA]]*Tabela25[[#This Row],[CUSTO]]</f>
        <v>0</v>
      </c>
      <c r="Q351" s="49">
        <f>Tabela25[[#This Row],[CUSTO]]/Tabela25[[#This Row],[PREÇO PRATICADO]]</f>
        <v>0.24997080395989979</v>
      </c>
    </row>
    <row r="352" spans="1:17" ht="15" customHeight="1" x14ac:dyDescent="0.3">
      <c r="A352" s="42">
        <v>100700033</v>
      </c>
      <c r="B352" s="28">
        <v>1007</v>
      </c>
      <c r="C352" s="28" t="s">
        <v>367</v>
      </c>
      <c r="D352" t="s">
        <v>380</v>
      </c>
      <c r="E352" s="36">
        <v>19</v>
      </c>
      <c r="F352" s="36">
        <v>21</v>
      </c>
      <c r="G352" s="21">
        <f>VLOOKUP(Tabela25[[#This Row],[CÓDIGO]],'[1]Estrutura Loja'!$B$3:$M$2941,5,0)</f>
        <v>20.219203627954776</v>
      </c>
      <c r="H352" s="37">
        <f t="shared" si="5"/>
        <v>-1.2192036279547764</v>
      </c>
      <c r="I352" s="36">
        <v>19</v>
      </c>
      <c r="J35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0.1821611258646616</v>
      </c>
      <c r="K352" s="53">
        <f>Tabela25[[#This Row],[PREÇO PRATICADO]]*Tabela25[[#This Row],[LUCRO REAL %]]</f>
        <v>3.4610613914285704</v>
      </c>
      <c r="L352" s="24"/>
      <c r="M352" s="54">
        <f>IF(Tabela25[[#This Row],[QUANT. VENDA]]=0,0,((Tabela25[[#This Row],[CUSTO]]*Tabela25[[#This Row],[QUANT. VENDA]])/(Tabela25[[#This Row],[QUANT. VENDA]]*Tabela25[[#This Row],[PREÇO PRATICADO]])))</f>
        <v>0</v>
      </c>
      <c r="N352" s="39">
        <f>VLOOKUP(Tabela25[[#This Row],[CÓDIGO]],'[1]Estrutura Loja'!$B$3:$E$1825,4,0)</f>
        <v>5.6209386085714286</v>
      </c>
      <c r="O352" s="39">
        <f>Tabela25[[#This Row],[QUANT. VENDA]]*Tabela25[[#This Row],[PREÇO PRATICADO]]</f>
        <v>0</v>
      </c>
      <c r="P352" s="39">
        <f>Tabela25[[#This Row],[QUANT. VENDA]]*Tabela25[[#This Row],[CUSTO]]</f>
        <v>0</v>
      </c>
      <c r="Q352" s="55">
        <f>Tabela25[[#This Row],[CUSTO]]/Tabela25[[#This Row],[PREÇO PRATICADO]]</f>
        <v>0.29583887413533833</v>
      </c>
    </row>
    <row r="353" spans="1:17" ht="15" customHeight="1" x14ac:dyDescent="0.3">
      <c r="A353" s="66">
        <v>100700048</v>
      </c>
      <c r="B353" s="34">
        <v>1007</v>
      </c>
      <c r="C353" s="28" t="s">
        <v>367</v>
      </c>
      <c r="D353" t="s">
        <v>381</v>
      </c>
      <c r="E353" s="36">
        <v>32</v>
      </c>
      <c r="F353" s="36">
        <v>35</v>
      </c>
      <c r="G353" s="37">
        <f>VLOOKUP(Tabela25[[#This Row],[CÓDIGO]],'[1]Estrutura Loja'!$B$3:$M$2941,5,0)</f>
        <v>33.569303075539565</v>
      </c>
      <c r="H353" s="37">
        <f t="shared" si="5"/>
        <v>-1.5693030755395654</v>
      </c>
      <c r="I353" s="36">
        <v>32</v>
      </c>
      <c r="J353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0.18636667953124997</v>
      </c>
      <c r="K353" s="53">
        <f>Tabela25[[#This Row],[PREÇO PRATICADO]]*Tabela25[[#This Row],[LUCRO REAL %]]</f>
        <v>5.963733744999999</v>
      </c>
      <c r="L353" s="38"/>
      <c r="M353" s="67">
        <f>IF(Tabela25[[#This Row],[QUANT. VENDA]]=0,0,((Tabela25[[#This Row],[CUSTO]]*Tabela25[[#This Row],[QUANT. VENDA]])/(Tabela25[[#This Row],[QUANT. VENDA]]*Tabela25[[#This Row],[PREÇO PRATICADO]])))</f>
        <v>0</v>
      </c>
      <c r="N353" s="39">
        <f>VLOOKUP(Tabela25[[#This Row],[CÓDIGO]],'[1]Estrutura Loja'!$B$3:$E$1825,4,0)</f>
        <v>9.3322662550000004</v>
      </c>
      <c r="O353" s="39">
        <f>Tabela25[[#This Row],[QUANT. VENDA]]*Tabela25[[#This Row],[PREÇO PRATICADO]]</f>
        <v>0</v>
      </c>
      <c r="P353" s="39">
        <f>Tabela25[[#This Row],[QUANT. VENDA]]*Tabela25[[#This Row],[CUSTO]]</f>
        <v>0</v>
      </c>
      <c r="Q353" s="55">
        <f>Tabela25[[#This Row],[CUSTO]]/Tabela25[[#This Row],[PREÇO PRATICADO]]</f>
        <v>0.29163332046875001</v>
      </c>
    </row>
    <row r="354" spans="1:17" ht="15" customHeight="1" x14ac:dyDescent="0.3">
      <c r="A354" s="42">
        <v>100700025</v>
      </c>
      <c r="B354" s="28">
        <v>1007</v>
      </c>
      <c r="C354" s="28" t="s">
        <v>367</v>
      </c>
      <c r="D354" s="86" t="s">
        <v>382</v>
      </c>
      <c r="E354" s="36">
        <v>19</v>
      </c>
      <c r="F354" s="36">
        <v>21</v>
      </c>
      <c r="G354" s="21">
        <f>VLOOKUP(Tabela25[[#This Row],[CÓDIGO]],'[1]Estrutura Loja'!$B$3:$M$2941,5,0)</f>
        <v>25.224280909879237</v>
      </c>
      <c r="H354" s="37">
        <f t="shared" si="5"/>
        <v>-6.2242809098792371</v>
      </c>
      <c r="I354" s="36">
        <v>19</v>
      </c>
      <c r="J35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0.10892894247650368</v>
      </c>
      <c r="K354" s="53">
        <f>Tabela25[[#This Row],[PREÇO PRATICADO]]*Tabela25[[#This Row],[LUCRO REAL %]]</f>
        <v>2.0696499070535701</v>
      </c>
      <c r="L354" s="24"/>
      <c r="M354" s="54">
        <f>IF(Tabela25[[#This Row],[QUANT. VENDA]]=0,0,((Tabela25[[#This Row],[CUSTO]]*Tabela25[[#This Row],[QUANT. VENDA]])/(Tabela25[[#This Row],[QUANT. VENDA]]*Tabela25[[#This Row],[PREÇO PRATICADO]])))</f>
        <v>0</v>
      </c>
      <c r="N354" s="39">
        <f>VLOOKUP(Tabela25[[#This Row],[CÓDIGO]],'[1]Estrutura Loja'!$B$3:$E$1825,4,0)</f>
        <v>7.0123500929464289</v>
      </c>
      <c r="O354" s="39">
        <f>Tabela25[[#This Row],[QUANT. VENDA]]*Tabela25[[#This Row],[PREÇO PRATICADO]]</f>
        <v>0</v>
      </c>
      <c r="P354" s="39">
        <f>Tabela25[[#This Row],[QUANT. VENDA]]*Tabela25[[#This Row],[CUSTO]]</f>
        <v>0</v>
      </c>
      <c r="Q354" s="55">
        <f>Tabela25[[#This Row],[CUSTO]]/Tabela25[[#This Row],[PREÇO PRATICADO]]</f>
        <v>0.36907105752349628</v>
      </c>
    </row>
    <row r="355" spans="1:17" ht="15" customHeight="1" x14ac:dyDescent="0.3">
      <c r="A355" s="66">
        <v>100700041</v>
      </c>
      <c r="B355" s="34">
        <v>1007</v>
      </c>
      <c r="C355" s="28" t="s">
        <v>367</v>
      </c>
      <c r="D355" t="s">
        <v>383</v>
      </c>
      <c r="E355" s="36">
        <v>19</v>
      </c>
      <c r="F355" s="36">
        <v>21</v>
      </c>
      <c r="G355" s="21">
        <f>VLOOKUP(Tabela25[[#This Row],[CÓDIGO]],'[1]Estrutura Loja'!$B$3:$M$2941,5,0)</f>
        <v>21.757146073997941</v>
      </c>
      <c r="H355" s="37">
        <f t="shared" si="5"/>
        <v>-2.7571460739979408</v>
      </c>
      <c r="I355" s="36">
        <v>19</v>
      </c>
      <c r="J355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0.15965859954887213</v>
      </c>
      <c r="K355" s="53">
        <f>Tabela25[[#This Row],[PREÇO PRATICADO]]*Tabela25[[#This Row],[LUCRO REAL %]]</f>
        <v>3.0335133914285706</v>
      </c>
      <c r="L355" s="24"/>
      <c r="M355" s="54">
        <f>IF(Tabela25[[#This Row],[QUANT. VENDA]]=0,0,((Tabela25[[#This Row],[CUSTO]]*Tabela25[[#This Row],[QUANT. VENDA]])/(Tabela25[[#This Row],[QUANT. VENDA]]*Tabela25[[#This Row],[PREÇO PRATICADO]])))</f>
        <v>0</v>
      </c>
      <c r="N355" s="39">
        <f>VLOOKUP(Tabela25[[#This Row],[CÓDIGO]],'[1]Estrutura Loja'!$B$3:$E$1825,4,0)</f>
        <v>6.0484866085714284</v>
      </c>
      <c r="O355" s="39">
        <f>Tabela25[[#This Row],[QUANT. VENDA]]*Tabela25[[#This Row],[PREÇO PRATICADO]]</f>
        <v>0</v>
      </c>
      <c r="P355" s="39">
        <f>Tabela25[[#This Row],[QUANT. VENDA]]*Tabela25[[#This Row],[CUSTO]]</f>
        <v>0</v>
      </c>
      <c r="Q355" s="55">
        <f>Tabela25[[#This Row],[CUSTO]]/Tabela25[[#This Row],[PREÇO PRATICADO]]</f>
        <v>0.3183414004511278</v>
      </c>
    </row>
    <row r="356" spans="1:17" ht="15" customHeight="1" x14ac:dyDescent="0.3">
      <c r="A356" s="91">
        <v>101800001</v>
      </c>
      <c r="B356" s="34">
        <v>1018</v>
      </c>
      <c r="C356" s="28" t="str">
        <f>VLOOKUP(Tabela25[[#This Row],[GRUPO]],[1]Produto!H170:I535,2,0)</f>
        <v>Sorvete no Copo</v>
      </c>
      <c r="D356" s="51" t="s">
        <v>384</v>
      </c>
      <c r="E356" s="36">
        <v>7</v>
      </c>
      <c r="F356" s="36">
        <v>8</v>
      </c>
      <c r="G356" s="21">
        <f>VLOOKUP(Tabela25[[#This Row],[CÓDIGO]],'[1]Estrutura Loja'!$B$3:$M$2941,5,0)</f>
        <v>6.6111109892086333</v>
      </c>
      <c r="H356" s="37">
        <f t="shared" si="5"/>
        <v>0.38888901079136673</v>
      </c>
      <c r="I356" s="36">
        <v>7</v>
      </c>
      <c r="J35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0.2154444492857143</v>
      </c>
      <c r="K356" s="53">
        <f>Tabela25[[#This Row],[PREÇO PRATICADO]]*Tabela25[[#This Row],[LUCRO REAL %]]</f>
        <v>1.508111145</v>
      </c>
      <c r="L356" s="38"/>
      <c r="M356" s="54">
        <f>IF(Tabela25[[#This Row],[QUANT. VENDA]]=0,0,((Tabela25[[#This Row],[CUSTO]]*Tabela25[[#This Row],[QUANT. VENDA]])/(Tabela25[[#This Row],[QUANT. VENDA]]*Tabela25[[#This Row],[PREÇO PRATICADO]])))</f>
        <v>0</v>
      </c>
      <c r="N356" s="39">
        <f>VLOOKUP(Tabela25[[#This Row],[CÓDIGO]],'[1]Estrutura Loja'!$B$3:$E$1825,4,0)</f>
        <v>1.8378888550000001</v>
      </c>
      <c r="O356" s="39">
        <f>Tabela25[[#This Row],[QUANT. VENDA]]*Tabela25[[#This Row],[PREÇO PRATICADO]]</f>
        <v>0</v>
      </c>
      <c r="P356" s="39">
        <f>Tabela25[[#This Row],[QUANT. VENDA]]*Tabela25[[#This Row],[CUSTO]]</f>
        <v>0</v>
      </c>
      <c r="Q356" s="55">
        <f>Tabela25[[#This Row],[CUSTO]]/Tabela25[[#This Row],[PREÇO PRATICADO]]</f>
        <v>0.26255555071428571</v>
      </c>
    </row>
    <row r="357" spans="1:17" x14ac:dyDescent="0.3">
      <c r="A357" s="66">
        <v>101800002</v>
      </c>
      <c r="B357" s="34">
        <v>1018</v>
      </c>
      <c r="C357" s="28" t="str">
        <f>VLOOKUP(Tabela25[[#This Row],[GRUPO]],[1]Produto!H171:I536,2,0)</f>
        <v>Sorvete no Copo</v>
      </c>
      <c r="D357" s="51" t="s">
        <v>385</v>
      </c>
      <c r="E357" s="36">
        <v>9</v>
      </c>
      <c r="F357" s="36">
        <v>10</v>
      </c>
      <c r="G357" s="21">
        <f>VLOOKUP(Tabela25[[#This Row],[CÓDIGO]],'[1]Estrutura Loja'!$B$3:$M$2941,5,0)</f>
        <v>9.2378539208633068</v>
      </c>
      <c r="H357" s="37">
        <f t="shared" si="5"/>
        <v>-0.23785392086330681</v>
      </c>
      <c r="I357" s="36">
        <v>9</v>
      </c>
      <c r="J35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0.19265295666666671</v>
      </c>
      <c r="K357" s="53">
        <f>Tabela25[[#This Row],[PREÇO PRATICADO]]*Tabela25[[#This Row],[LUCRO REAL %]]</f>
        <v>1.7338766100000003</v>
      </c>
      <c r="L357" s="38"/>
      <c r="M357" s="54">
        <f>IF(Tabela25[[#This Row],[QUANT. VENDA]]=0,0,((Tabela25[[#This Row],[CUSTO]]*Tabela25[[#This Row],[QUANT. VENDA]])/(Tabela25[[#This Row],[QUANT. VENDA]]*Tabela25[[#This Row],[PREÇO PRATICADO]])))</f>
        <v>0</v>
      </c>
      <c r="N357" s="39">
        <f>VLOOKUP(Tabela25[[#This Row],[CÓDIGO]],'[1]Estrutura Loja'!$B$3:$E$1825,4,0)</f>
        <v>2.5681233899999993</v>
      </c>
      <c r="O357" s="39">
        <f>Tabela25[[#This Row],[QUANT. VENDA]]*Tabela25[[#This Row],[PREÇO PRATICADO]]</f>
        <v>0</v>
      </c>
      <c r="P357" s="39">
        <f>Tabela25[[#This Row],[QUANT. VENDA]]*Tabela25[[#This Row],[CUSTO]]</f>
        <v>0</v>
      </c>
      <c r="Q357" s="55">
        <f>Tabela25[[#This Row],[CUSTO]]/Tabela25[[#This Row],[PREÇO PRATICADO]]</f>
        <v>0.28534704333333327</v>
      </c>
    </row>
    <row r="358" spans="1:17" x14ac:dyDescent="0.3">
      <c r="A358" s="66">
        <v>101800003</v>
      </c>
      <c r="B358" s="34">
        <v>1018</v>
      </c>
      <c r="C358" s="28" t="str">
        <f>VLOOKUP(Tabela25[[#This Row],[GRUPO]],[1]Produto!H172:I537,2,0)</f>
        <v>Sorvete no Copo</v>
      </c>
      <c r="D358" s="51" t="s">
        <v>386</v>
      </c>
      <c r="E358" s="36">
        <v>11</v>
      </c>
      <c r="F358" s="36">
        <v>12</v>
      </c>
      <c r="G358" s="21">
        <f>VLOOKUP(Tabela25[[#This Row],[CÓDIGO]],'[1]Estrutura Loja'!$B$3:$M$2941,5,0)</f>
        <v>11.549066330935251</v>
      </c>
      <c r="H358" s="37">
        <f t="shared" si="5"/>
        <v>-0.54906633093525059</v>
      </c>
      <c r="I358" s="36">
        <v>11</v>
      </c>
      <c r="J35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0.1861235963636364</v>
      </c>
      <c r="K358" s="53">
        <f>Tabela25[[#This Row],[PREÇO PRATICADO]]*Tabela25[[#This Row],[LUCRO REAL %]]</f>
        <v>2.0473595600000003</v>
      </c>
      <c r="L358" s="38"/>
      <c r="M358" s="54">
        <f>IF(Tabela25[[#This Row],[QUANT. VENDA]]=0,0,((Tabela25[[#This Row],[CUSTO]]*Tabela25[[#This Row],[QUANT. VENDA]])/(Tabela25[[#This Row],[QUANT. VENDA]]*Tabela25[[#This Row],[PREÇO PRATICADO]])))</f>
        <v>0</v>
      </c>
      <c r="N358" s="39">
        <f>VLOOKUP(Tabela25[[#This Row],[CÓDIGO]],'[1]Estrutura Loja'!$B$3:$E$1825,4,0)</f>
        <v>3.2106404399999997</v>
      </c>
      <c r="O358" s="39">
        <f>Tabela25[[#This Row],[QUANT. VENDA]]*Tabela25[[#This Row],[PREÇO PRATICADO]]</f>
        <v>0</v>
      </c>
      <c r="P358" s="39">
        <f>Tabela25[[#This Row],[QUANT. VENDA]]*Tabela25[[#This Row],[CUSTO]]</f>
        <v>0</v>
      </c>
      <c r="Q358" s="55">
        <f>Tabela25[[#This Row],[CUSTO]]/Tabela25[[#This Row],[PREÇO PRATICADO]]</f>
        <v>0.29187640363636363</v>
      </c>
    </row>
    <row r="359" spans="1:17" x14ac:dyDescent="0.3">
      <c r="A359" s="66">
        <v>101800004</v>
      </c>
      <c r="B359" s="34">
        <v>1018</v>
      </c>
      <c r="C359" s="28" t="str">
        <f>VLOOKUP(Tabela25[[#This Row],[GRUPO]],[1]Produto!H176:I538,2,0)</f>
        <v>Sorvete no Copo</v>
      </c>
      <c r="D359" s="51" t="s">
        <v>387</v>
      </c>
      <c r="E359" s="36">
        <v>13</v>
      </c>
      <c r="F359" s="36">
        <v>14</v>
      </c>
      <c r="G359" s="21">
        <f>VLOOKUP(Tabela25[[#This Row],[CÓDIGO]],'[1]Estrutura Loja'!$B$3:$M$2941,5,0)</f>
        <v>13.887672410071939</v>
      </c>
      <c r="H359" s="37">
        <f t="shared" si="5"/>
        <v>-0.88767241007193931</v>
      </c>
      <c r="I359" s="36">
        <v>13</v>
      </c>
      <c r="J35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0.18101746692307691</v>
      </c>
      <c r="K359" s="53">
        <f>Tabela25[[#This Row],[PREÇO PRATICADO]]*Tabela25[[#This Row],[LUCRO REAL %]]</f>
        <v>2.35322707</v>
      </c>
      <c r="L359" s="38"/>
      <c r="M359" s="54">
        <f>IF(Tabela25[[#This Row],[QUANT. VENDA]]=0,0,((Tabela25[[#This Row],[CUSTO]]*Tabela25[[#This Row],[QUANT. VENDA]])/(Tabela25[[#This Row],[QUANT. VENDA]]*Tabela25[[#This Row],[PREÇO PRATICADO]])))</f>
        <v>0</v>
      </c>
      <c r="N359" s="39">
        <f>VLOOKUP(Tabela25[[#This Row],[CÓDIGO]],'[1]Estrutura Loja'!$B$3:$E$1825,4,0)</f>
        <v>3.8607729299999995</v>
      </c>
      <c r="O359" s="39">
        <f>Tabela25[[#This Row],[QUANT. VENDA]]*Tabela25[[#This Row],[PREÇO PRATICADO]]</f>
        <v>0</v>
      </c>
      <c r="P359" s="39">
        <f>Tabela25[[#This Row],[QUANT. VENDA]]*Tabela25[[#This Row],[CUSTO]]</f>
        <v>0</v>
      </c>
      <c r="Q359" s="55">
        <f>Tabela25[[#This Row],[CUSTO]]/Tabela25[[#This Row],[PREÇO PRATICADO]]</f>
        <v>0.29698253307692302</v>
      </c>
    </row>
    <row r="360" spans="1:17" x14ac:dyDescent="0.3">
      <c r="A360" s="66">
        <v>101800005</v>
      </c>
      <c r="B360" s="34">
        <v>1018</v>
      </c>
      <c r="C360" s="28" t="str">
        <f>VLOOKUP(Tabela25[[#This Row],[GRUPO]],[1]Produto!H177:I539,2,0)</f>
        <v>Sorvete no Copo</v>
      </c>
      <c r="D360" s="43" t="s">
        <v>388</v>
      </c>
      <c r="E360" s="36">
        <v>5</v>
      </c>
      <c r="F360" s="36">
        <v>6</v>
      </c>
      <c r="G360" s="37">
        <f>VLOOKUP(Tabela25[[#This Row],[CÓDIGO]],'[1]Estrutura Loja'!$B$3:$M$2941,5,0)</f>
        <v>4.8552357913669058</v>
      </c>
      <c r="H360" s="37">
        <f t="shared" si="5"/>
        <v>0.14476420863309425</v>
      </c>
      <c r="I360" s="36">
        <v>5</v>
      </c>
      <c r="J360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0.20804888999999999</v>
      </c>
      <c r="K360" s="53">
        <f>Tabela25[[#This Row],[PREÇO PRATICADO]]*Tabela25[[#This Row],[LUCRO REAL %]]</f>
        <v>1.0402444499999999</v>
      </c>
      <c r="L360" s="38"/>
      <c r="M360" s="67">
        <f>IF(Tabela25[[#This Row],[QUANT. VENDA]]=0,0,((Tabela25[[#This Row],[CUSTO]]*Tabela25[[#This Row],[QUANT. VENDA]])/(Tabela25[[#This Row],[QUANT. VENDA]]*Tabela25[[#This Row],[PREÇO PRATICADO]])))</f>
        <v>0</v>
      </c>
      <c r="N360" s="39">
        <f>VLOOKUP(Tabela25[[#This Row],[CÓDIGO]],'[1]Estrutura Loja'!$B$3:$E$1825,4,0)</f>
        <v>1.3497555499999998</v>
      </c>
      <c r="O360" s="39">
        <f>Tabela25[[#This Row],[QUANT. VENDA]]*Tabela25[[#This Row],[PREÇO PRATICADO]]</f>
        <v>0</v>
      </c>
      <c r="P360" s="39">
        <f>Tabela25[[#This Row],[QUANT. VENDA]]*Tabela25[[#This Row],[CUSTO]]</f>
        <v>0</v>
      </c>
      <c r="Q360" s="55">
        <f>Tabela25[[#This Row],[CUSTO]]/Tabela25[[#This Row],[PREÇO PRATICADO]]</f>
        <v>0.26995110999999994</v>
      </c>
    </row>
    <row r="361" spans="1:17" x14ac:dyDescent="0.3">
      <c r="A361" s="42">
        <v>100800001</v>
      </c>
      <c r="B361" s="28">
        <v>1008</v>
      </c>
      <c r="C361" s="28" t="str">
        <f>VLOOKUP(Tabela25[[#This Row],[GRUPO]],[1]Produto!H116:I488,2,0)</f>
        <v>Sundae</v>
      </c>
      <c r="D361" s="43" t="s">
        <v>389</v>
      </c>
      <c r="E361" s="44">
        <v>10</v>
      </c>
      <c r="F361" s="44">
        <v>12</v>
      </c>
      <c r="G361" s="21">
        <f>VLOOKUP(Tabela25[[#This Row],[CÓDIGO]],'[1]Estrutura Loja'!$B$3:$M$2941,5,0)</f>
        <v>8.6671643643303167</v>
      </c>
      <c r="H361" s="45">
        <f t="shared" si="5"/>
        <v>1.3328356356696833</v>
      </c>
      <c r="I361" s="44">
        <v>10</v>
      </c>
      <c r="J36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0.23705283067161709</v>
      </c>
      <c r="K361" s="53">
        <f>Tabela25[[#This Row],[PREÇO PRATICADO]]*Tabela25[[#This Row],[LUCRO REAL %]]</f>
        <v>2.3705283067161709</v>
      </c>
      <c r="L361" s="24"/>
      <c r="M361" s="54">
        <f>IF(Tabela25[[#This Row],[QUANT. VENDA]]=0,0,((Tabela25[[#This Row],[CUSTO]]*Tabela25[[#This Row],[QUANT. VENDA]])/(Tabela25[[#This Row],[QUANT. VENDA]]*Tabela25[[#This Row],[PREÇO PRATICADO]])))</f>
        <v>0</v>
      </c>
      <c r="N361" s="48">
        <f>VLOOKUP(Tabela25[[#This Row],[CÓDIGO]],'[1]Estrutura Loja'!$B$3:$E$1825,4,0)</f>
        <v>2.4094716932838285</v>
      </c>
      <c r="O361" s="48">
        <f>Tabela25[[#This Row],[QUANT. VENDA]]*Tabela25[[#This Row],[PREÇO PRATICADO]]</f>
        <v>0</v>
      </c>
      <c r="P361" s="48">
        <f>Tabela25[[#This Row],[QUANT. VENDA]]*Tabela25[[#This Row],[CUSTO]]</f>
        <v>0</v>
      </c>
      <c r="Q361" s="49">
        <f>Tabela25[[#This Row],[CUSTO]]/Tabela25[[#This Row],[PREÇO PRATICADO]]</f>
        <v>0.24094716932838284</v>
      </c>
    </row>
    <row r="362" spans="1:17" x14ac:dyDescent="0.3">
      <c r="A362" s="42">
        <v>100800002</v>
      </c>
      <c r="B362" s="28">
        <v>1008</v>
      </c>
      <c r="C362" s="28" t="str">
        <f>VLOOKUP(Tabela25[[#This Row],[GRUPO]],[1]Produto!H116:I489,2,0)</f>
        <v>Sundae</v>
      </c>
      <c r="D362" s="43" t="s">
        <v>390</v>
      </c>
      <c r="E362" s="44">
        <v>10</v>
      </c>
      <c r="F362" s="44">
        <v>12</v>
      </c>
      <c r="G362" s="21">
        <f>VLOOKUP(Tabela25[[#This Row],[CÓDIGO]],'[1]Estrutura Loja'!$B$3:$M$2941,5,0)</f>
        <v>8.6718714897191163</v>
      </c>
      <c r="H362" s="45">
        <f t="shared" si="5"/>
        <v>1.3281285102808837</v>
      </c>
      <c r="I362" s="44">
        <v>10</v>
      </c>
      <c r="J36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0.23692197258580849</v>
      </c>
      <c r="K362" s="53">
        <f>Tabela25[[#This Row],[PREÇO PRATICADO]]*Tabela25[[#This Row],[LUCRO REAL %]]</f>
        <v>2.3692197258580849</v>
      </c>
      <c r="L362" s="24"/>
      <c r="M362" s="54">
        <f>IF(Tabela25[[#This Row],[QUANT. VENDA]]=0,0,((Tabela25[[#This Row],[CUSTO]]*Tabela25[[#This Row],[QUANT. VENDA]])/(Tabela25[[#This Row],[QUANT. VENDA]]*Tabela25[[#This Row],[PREÇO PRATICADO]])))</f>
        <v>0</v>
      </c>
      <c r="N362" s="48">
        <f>VLOOKUP(Tabela25[[#This Row],[CÓDIGO]],'[1]Estrutura Loja'!$B$3:$E$1825,4,0)</f>
        <v>2.4107802741419144</v>
      </c>
      <c r="O362" s="48">
        <f>Tabela25[[#This Row],[QUANT. VENDA]]*Tabela25[[#This Row],[PREÇO PRATICADO]]</f>
        <v>0</v>
      </c>
      <c r="P362" s="48">
        <f>Tabela25[[#This Row],[QUANT. VENDA]]*Tabela25[[#This Row],[CUSTO]]</f>
        <v>0</v>
      </c>
      <c r="Q362" s="49">
        <f>Tabela25[[#This Row],[CUSTO]]/Tabela25[[#This Row],[PREÇO PRATICADO]]</f>
        <v>0.24107802741419143</v>
      </c>
    </row>
    <row r="363" spans="1:17" x14ac:dyDescent="0.3">
      <c r="A363" s="42">
        <v>100800003</v>
      </c>
      <c r="B363" s="28">
        <v>1008</v>
      </c>
      <c r="C363" s="28" t="str">
        <f>VLOOKUP(Tabela25[[#This Row],[GRUPO]],[1]Produto!H117:I490,2,0)</f>
        <v>Sundae</v>
      </c>
      <c r="D363" s="43" t="s">
        <v>391</v>
      </c>
      <c r="E363" s="44">
        <v>10</v>
      </c>
      <c r="F363" s="44">
        <v>12</v>
      </c>
      <c r="G363" s="21">
        <f>VLOOKUP(Tabela25[[#This Row],[CÓDIGO]],'[1]Estrutura Loja'!$B$3:$M$2941,5,0)</f>
        <v>8.732215293883705</v>
      </c>
      <c r="H363" s="45">
        <f t="shared" si="5"/>
        <v>1.267784706116295</v>
      </c>
      <c r="I363" s="44">
        <v>10</v>
      </c>
      <c r="J36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0.23524441483003292</v>
      </c>
      <c r="K363" s="53">
        <f>Tabela25[[#This Row],[PREÇO PRATICADO]]*Tabela25[[#This Row],[LUCRO REAL %]]</f>
        <v>2.3524441483003291</v>
      </c>
      <c r="L363" s="24"/>
      <c r="M363" s="54">
        <f>IF(Tabela25[[#This Row],[QUANT. VENDA]]=0,0,((Tabela25[[#This Row],[CUSTO]]*Tabela25[[#This Row],[QUANT. VENDA]])/(Tabela25[[#This Row],[QUANT. VENDA]]*Tabela25[[#This Row],[PREÇO PRATICADO]])))</f>
        <v>0</v>
      </c>
      <c r="N363" s="48">
        <f>VLOOKUP(Tabela25[[#This Row],[CÓDIGO]],'[1]Estrutura Loja'!$B$3:$E$1825,4,0)</f>
        <v>2.4275558516996703</v>
      </c>
      <c r="O363" s="48">
        <f>Tabela25[[#This Row],[QUANT. VENDA]]*Tabela25[[#This Row],[PREÇO PRATICADO]]</f>
        <v>0</v>
      </c>
      <c r="P363" s="48">
        <f>Tabela25[[#This Row],[QUANT. VENDA]]*Tabela25[[#This Row],[CUSTO]]</f>
        <v>0</v>
      </c>
      <c r="Q363" s="49">
        <f>Tabela25[[#This Row],[CUSTO]]/Tabela25[[#This Row],[PREÇO PRATICADO]]</f>
        <v>0.24275558516996704</v>
      </c>
    </row>
    <row r="364" spans="1:17" x14ac:dyDescent="0.3">
      <c r="A364" s="17">
        <v>100800004</v>
      </c>
      <c r="B364" s="18">
        <v>1008</v>
      </c>
      <c r="C364" s="28" t="str">
        <f>VLOOKUP(Tabela25[[#This Row],[GRUPO]],[1]Produto!H118:I491,2,0)</f>
        <v>Sundae</v>
      </c>
      <c r="D364" s="90" t="s">
        <v>392</v>
      </c>
      <c r="E364" s="44">
        <v>10</v>
      </c>
      <c r="F364" s="44">
        <v>12</v>
      </c>
      <c r="G364" s="21">
        <f>VLOOKUP(Tabela25[[#This Row],[CÓDIGO]],'[1]Estrutura Loja'!$B$3:$M$2941,5,0)</f>
        <v>9.3361199998219231</v>
      </c>
      <c r="H364" s="21">
        <f t="shared" si="5"/>
        <v>0.66388000017807691</v>
      </c>
      <c r="I364" s="44">
        <v>10</v>
      </c>
      <c r="J36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0.21845586400495046</v>
      </c>
      <c r="K364" s="53">
        <f>Tabela25[[#This Row],[PREÇO PRATICADO]]*Tabela25[[#This Row],[LUCRO REAL %]]</f>
        <v>2.1845586400495045</v>
      </c>
      <c r="L364" s="24"/>
      <c r="M364" s="54">
        <f>IF(Tabela25[[#This Row],[QUANT. VENDA]]=0,0,((Tabela25[[#This Row],[CUSTO]]*Tabela25[[#This Row],[QUANT. VENDA]])/(Tabela25[[#This Row],[QUANT. VENDA]]*Tabela25[[#This Row],[PREÇO PRATICADO]])))</f>
        <v>0</v>
      </c>
      <c r="N364" s="26">
        <f>VLOOKUP(Tabela25[[#This Row],[CÓDIGO]],'[1]Estrutura Loja'!$B$3:$E$1825,4,0)</f>
        <v>2.5954413599504949</v>
      </c>
      <c r="O364" s="26">
        <f>Tabela25[[#This Row],[QUANT. VENDA]]*Tabela25[[#This Row],[PREÇO PRATICADO]]</f>
        <v>0</v>
      </c>
      <c r="P364" s="26">
        <f>Tabela25[[#This Row],[QUANT. VENDA]]*Tabela25[[#This Row],[CUSTO]]</f>
        <v>0</v>
      </c>
      <c r="Q364" s="27">
        <f>Tabela25[[#This Row],[CUSTO]]/Tabela25[[#This Row],[PREÇO PRATICADO]]</f>
        <v>0.2595441359950495</v>
      </c>
    </row>
    <row r="365" spans="1:17" x14ac:dyDescent="0.3">
      <c r="A365" s="17">
        <v>100800005</v>
      </c>
      <c r="B365" s="18">
        <v>1008</v>
      </c>
      <c r="C365" s="28" t="str">
        <f>VLOOKUP(Tabela25[[#This Row],[GRUPO]],[1]Produto!H119:I492,2,0)</f>
        <v>Sundae</v>
      </c>
      <c r="D365" s="90" t="s">
        <v>393</v>
      </c>
      <c r="E365" s="44">
        <v>10</v>
      </c>
      <c r="F365" s="44">
        <v>12</v>
      </c>
      <c r="G365" s="21">
        <f>VLOOKUP(Tabela25[[#This Row],[CÓDIGO]],'[1]Estrutura Loja'!$B$3:$M$2941,5,0)</f>
        <v>9.3408271252107209</v>
      </c>
      <c r="H365" s="21">
        <f t="shared" si="5"/>
        <v>0.65917287478927911</v>
      </c>
      <c r="I365" s="44">
        <v>10</v>
      </c>
      <c r="J36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0.21832500591914186</v>
      </c>
      <c r="K365" s="53">
        <f>Tabela25[[#This Row],[PREÇO PRATICADO]]*Tabela25[[#This Row],[LUCRO REAL %]]</f>
        <v>2.1832500591914186</v>
      </c>
      <c r="L365" s="24"/>
      <c r="M365" s="54">
        <f>IF(Tabela25[[#This Row],[QUANT. VENDA]]=0,0,((Tabela25[[#This Row],[CUSTO]]*Tabela25[[#This Row],[QUANT. VENDA]])/(Tabela25[[#This Row],[QUANT. VENDA]]*Tabela25[[#This Row],[PREÇO PRATICADO]])))</f>
        <v>0</v>
      </c>
      <c r="N365" s="26">
        <f>VLOOKUP(Tabela25[[#This Row],[CÓDIGO]],'[1]Estrutura Loja'!$B$3:$E$1825,4,0)</f>
        <v>2.5967499408085808</v>
      </c>
      <c r="O365" s="26">
        <f>Tabela25[[#This Row],[QUANT. VENDA]]*Tabela25[[#This Row],[PREÇO PRATICADO]]</f>
        <v>0</v>
      </c>
      <c r="P365" s="26">
        <f>Tabela25[[#This Row],[QUANT. VENDA]]*Tabela25[[#This Row],[CUSTO]]</f>
        <v>0</v>
      </c>
      <c r="Q365" s="27">
        <f>Tabela25[[#This Row],[CUSTO]]/Tabela25[[#This Row],[PREÇO PRATICADO]]</f>
        <v>0.25967499408085809</v>
      </c>
    </row>
    <row r="366" spans="1:17" x14ac:dyDescent="0.3">
      <c r="A366" s="17">
        <v>100800006</v>
      </c>
      <c r="B366" s="18">
        <v>1008</v>
      </c>
      <c r="C366" s="28" t="str">
        <f>VLOOKUP(Tabela25[[#This Row],[GRUPO]],[1]Produto!H119:I493,2,0)</f>
        <v>Sundae</v>
      </c>
      <c r="D366" s="90" t="s">
        <v>394</v>
      </c>
      <c r="E366" s="44">
        <v>10</v>
      </c>
      <c r="F366" s="44">
        <v>12</v>
      </c>
      <c r="G366" s="21">
        <f>VLOOKUP(Tabela25[[#This Row],[CÓDIGO]],'[1]Estrutura Loja'!$B$3:$M$2941,5,0)</f>
        <v>9.4011709293753114</v>
      </c>
      <c r="H366" s="21">
        <f t="shared" si="5"/>
        <v>0.5988290706246886</v>
      </c>
      <c r="I366" s="44">
        <v>10</v>
      </c>
      <c r="J36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0.21664744816336629</v>
      </c>
      <c r="K366" s="53">
        <f>Tabela25[[#This Row],[PREÇO PRATICADO]]*Tabela25[[#This Row],[LUCRO REAL %]]</f>
        <v>2.1664744816336627</v>
      </c>
      <c r="L366" s="24"/>
      <c r="M366" s="54">
        <f>IF(Tabela25[[#This Row],[QUANT. VENDA]]=0,0,((Tabela25[[#This Row],[CUSTO]]*Tabela25[[#This Row],[QUANT. VENDA]])/(Tabela25[[#This Row],[QUANT. VENDA]]*Tabela25[[#This Row],[PREÇO PRATICADO]])))</f>
        <v>0</v>
      </c>
      <c r="N366" s="26">
        <f>VLOOKUP(Tabela25[[#This Row],[CÓDIGO]],'[1]Estrutura Loja'!$B$3:$E$1825,4,0)</f>
        <v>2.6135255183663366</v>
      </c>
      <c r="O366" s="26">
        <f>Tabela25[[#This Row],[QUANT. VENDA]]*Tabela25[[#This Row],[PREÇO PRATICADO]]</f>
        <v>0</v>
      </c>
      <c r="P366" s="26">
        <f>Tabela25[[#This Row],[QUANT. VENDA]]*Tabela25[[#This Row],[CUSTO]]</f>
        <v>0</v>
      </c>
      <c r="Q366" s="27">
        <f>Tabela25[[#This Row],[CUSTO]]/Tabela25[[#This Row],[PREÇO PRATICADO]]</f>
        <v>0.26135255183663364</v>
      </c>
    </row>
    <row r="367" spans="1:17" x14ac:dyDescent="0.3">
      <c r="A367" s="42">
        <v>100800016</v>
      </c>
      <c r="B367" s="28">
        <v>1008</v>
      </c>
      <c r="C367" s="28" t="str">
        <f>VLOOKUP(Tabela25[[#This Row],[GRUPO]],[1]Produto!H117:I605,2,0)</f>
        <v>Sundae</v>
      </c>
      <c r="D367" s="43" t="s">
        <v>395</v>
      </c>
      <c r="E367" s="44">
        <v>10</v>
      </c>
      <c r="F367" s="44">
        <v>12</v>
      </c>
      <c r="G367" s="21">
        <f>VLOOKUP(Tabela25[[#This Row],[CÓDIGO]],'[1]Estrutura Loja'!$B$3:$M$2941,5,0)</f>
        <v>9.3361199998219231</v>
      </c>
      <c r="H367" s="37">
        <f t="shared" si="5"/>
        <v>0.66388000017807691</v>
      </c>
      <c r="I367" s="44">
        <v>10</v>
      </c>
      <c r="J367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0.21845586400495046</v>
      </c>
      <c r="K367" s="46">
        <f>Tabela25[[#This Row],[PREÇO PRATICADO]]*Tabela25[[#This Row],[LUCRO REAL %]]</f>
        <v>2.1845586400495045</v>
      </c>
      <c r="L367" s="24"/>
      <c r="M367" s="54">
        <f>IF(Tabela25[[#This Row],[QUANT. VENDA]]=0,0,((Tabela25[[#This Row],[CUSTO]]*Tabela25[[#This Row],[QUANT. VENDA]])/(Tabela25[[#This Row],[QUANT. VENDA]]*Tabela25[[#This Row],[PREÇO PRATICADO]])))</f>
        <v>0</v>
      </c>
      <c r="N367" s="39">
        <f>VLOOKUP(Tabela25[[#This Row],[CÓDIGO]],'[1]Estrutura Loja'!$B$3:$E$1825,4,0)</f>
        <v>2.5954413599504949</v>
      </c>
      <c r="O367" s="39">
        <f>Tabela25[[#This Row],[QUANT. VENDA]]*Tabela25[[#This Row],[PREÇO PRATICADO]]</f>
        <v>0</v>
      </c>
      <c r="P367" s="39">
        <f>Tabela25[[#This Row],[QUANT. VENDA]]*Tabela25[[#This Row],[CUSTO]]</f>
        <v>0</v>
      </c>
      <c r="Q367" s="49">
        <f>Tabela25[[#This Row],[CUSTO]]/Tabela25[[#This Row],[PREÇO PRATICADO]]</f>
        <v>0.2595441359950495</v>
      </c>
    </row>
    <row r="368" spans="1:17" x14ac:dyDescent="0.3">
      <c r="A368" s="42">
        <v>100800019</v>
      </c>
      <c r="B368" s="28">
        <v>1008</v>
      </c>
      <c r="C368" s="28" t="str">
        <f>VLOOKUP(Tabela25[[#This Row],[GRUPO]],[1]Produto!H119:I492,2,0)</f>
        <v>Sundae</v>
      </c>
      <c r="D368" s="43" t="s">
        <v>396</v>
      </c>
      <c r="E368" s="36">
        <v>12</v>
      </c>
      <c r="F368" s="36">
        <v>14</v>
      </c>
      <c r="G368" s="21">
        <f>VLOOKUP(Tabela25[[#This Row],[CÓDIGO]],'[1]Estrutura Loja'!$B$3:$M$2941,5,0)</f>
        <v>8.9244154149749519</v>
      </c>
      <c r="H368" s="37">
        <f t="shared" si="5"/>
        <v>3.0755845850250481</v>
      </c>
      <c r="I368" s="36">
        <v>12</v>
      </c>
      <c r="J368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0.27125104288641361</v>
      </c>
      <c r="K368" s="46">
        <f>Tabela25[[#This Row],[PREÇO PRATICADO]]*Tabela25[[#This Row],[LUCRO REAL %]]</f>
        <v>3.2550125146369631</v>
      </c>
      <c r="L368" s="24"/>
      <c r="M368" s="54">
        <f>IF(Tabela25[[#This Row],[QUANT. VENDA]]=0,0,((Tabela25[[#This Row],[CUSTO]]*Tabela25[[#This Row],[QUANT. VENDA]])/(Tabela25[[#This Row],[QUANT. VENDA]]*Tabela25[[#This Row],[PREÇO PRATICADO]])))</f>
        <v>0</v>
      </c>
      <c r="N368" s="39">
        <f>VLOOKUP(Tabela25[[#This Row],[CÓDIGO]],'[1]Estrutura Loja'!$B$3:$E$1825,4,0)</f>
        <v>2.4809874853630367</v>
      </c>
      <c r="O368" s="39">
        <f>Tabela25[[#This Row],[QUANT. VENDA]]*Tabela25[[#This Row],[PREÇO PRATICADO]]</f>
        <v>0</v>
      </c>
      <c r="P368" s="39">
        <f>Tabela25[[#This Row],[QUANT. VENDA]]*Tabela25[[#This Row],[CUSTO]]</f>
        <v>0</v>
      </c>
      <c r="Q368" s="49">
        <f>Tabela25[[#This Row],[CUSTO]]/Tabela25[[#This Row],[PREÇO PRATICADO]]</f>
        <v>0.2067489571135864</v>
      </c>
    </row>
    <row r="369" spans="1:17" x14ac:dyDescent="0.3">
      <c r="A369" s="42">
        <v>100800020</v>
      </c>
      <c r="B369" s="28">
        <v>1008</v>
      </c>
      <c r="C369" s="28" t="str">
        <f>VLOOKUP(Tabela25[[#This Row],[GRUPO]],[1]Produto!H119:I494,2,0)</f>
        <v>Sundae</v>
      </c>
      <c r="D369" s="43" t="s">
        <v>397</v>
      </c>
      <c r="E369" s="36">
        <v>12</v>
      </c>
      <c r="F369" s="36">
        <v>14</v>
      </c>
      <c r="G369" s="21">
        <f>VLOOKUP(Tabela25[[#This Row],[CÓDIGO]],'[1]Estrutura Loja'!$B$3:$M$2941,5,0)</f>
        <v>13.591247098143267</v>
      </c>
      <c r="H369" s="37">
        <f t="shared" si="5"/>
        <v>-1.5912470981432669</v>
      </c>
      <c r="I369" s="36">
        <v>12</v>
      </c>
      <c r="J369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0.16313610889301425</v>
      </c>
      <c r="K369" s="46">
        <f>Tabela25[[#This Row],[PREÇO PRATICADO]]*Tabela25[[#This Row],[LUCRO REAL %]]</f>
        <v>1.9576333067161711</v>
      </c>
      <c r="L369" s="24"/>
      <c r="M369" s="54">
        <f>IF(Tabela25[[#This Row],[QUANT. VENDA]]=0,0,((Tabela25[[#This Row],[CUSTO]]*Tabela25[[#This Row],[QUANT. VENDA]])/(Tabela25[[#This Row],[QUANT. VENDA]]*Tabela25[[#This Row],[PREÇO PRATICADO]])))</f>
        <v>0</v>
      </c>
      <c r="N369" s="39">
        <f>VLOOKUP(Tabela25[[#This Row],[CÓDIGO]],'[1]Estrutura Loja'!$B$3:$E$1825,4,0)</f>
        <v>3.7783666932838287</v>
      </c>
      <c r="O369" s="39">
        <f>Tabela25[[#This Row],[QUANT. VENDA]]*Tabela25[[#This Row],[PREÇO PRATICADO]]</f>
        <v>0</v>
      </c>
      <c r="P369" s="39">
        <f>Tabela25[[#This Row],[QUANT. VENDA]]*Tabela25[[#This Row],[CUSTO]]</f>
        <v>0</v>
      </c>
      <c r="Q369" s="49">
        <f>Tabela25[[#This Row],[CUSTO]]/Tabela25[[#This Row],[PREÇO PRATICADO]]</f>
        <v>0.3148638911069857</v>
      </c>
    </row>
    <row r="370" spans="1:17" x14ac:dyDescent="0.3">
      <c r="A370" s="42">
        <v>100800022</v>
      </c>
      <c r="B370" s="28">
        <v>1008</v>
      </c>
      <c r="C370" s="28" t="str">
        <f>VLOOKUP(Tabela25[[#This Row],[GRUPO]],[1]Produto!H119:I493,2,0)</f>
        <v>Sundae</v>
      </c>
      <c r="D370" s="43" t="s">
        <v>398</v>
      </c>
      <c r="E370" s="36">
        <v>12</v>
      </c>
      <c r="F370" s="36">
        <v>14</v>
      </c>
      <c r="G370" s="21">
        <f>VLOOKUP(Tabela25[[#This Row],[CÓDIGO]],'[1]Estrutura Loja'!$B$3:$M$2941,5,0)</f>
        <v>8.929122540363748</v>
      </c>
      <c r="H370" s="37">
        <f t="shared" si="5"/>
        <v>3.070877459636252</v>
      </c>
      <c r="I370" s="36">
        <v>12</v>
      </c>
      <c r="J370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0.27114199448157311</v>
      </c>
      <c r="K370" s="46">
        <f>Tabela25[[#This Row],[PREÇO PRATICADO]]*Tabela25[[#This Row],[LUCRO REAL %]]</f>
        <v>3.2537039337788771</v>
      </c>
      <c r="L370" s="24"/>
      <c r="M370" s="54">
        <f>IF(Tabela25[[#This Row],[QUANT. VENDA]]=0,0,((Tabela25[[#This Row],[CUSTO]]*Tabela25[[#This Row],[QUANT. VENDA]])/(Tabela25[[#This Row],[QUANT. VENDA]]*Tabela25[[#This Row],[PREÇO PRATICADO]])))</f>
        <v>0</v>
      </c>
      <c r="N370" s="39">
        <f>VLOOKUP(Tabela25[[#This Row],[CÓDIGO]],'[1]Estrutura Loja'!$B$3:$E$1825,4,0)</f>
        <v>2.4822960662211222</v>
      </c>
      <c r="O370" s="39">
        <f>Tabela25[[#This Row],[QUANT. VENDA]]*Tabela25[[#This Row],[PREÇO PRATICADO]]</f>
        <v>0</v>
      </c>
      <c r="P370" s="39">
        <f>Tabela25[[#This Row],[QUANT. VENDA]]*Tabela25[[#This Row],[CUSTO]]</f>
        <v>0</v>
      </c>
      <c r="Q370" s="49">
        <f>Tabela25[[#This Row],[CUSTO]]/Tabela25[[#This Row],[PREÇO PRATICADO]]</f>
        <v>0.20685800551842684</v>
      </c>
    </row>
    <row r="371" spans="1:17" x14ac:dyDescent="0.3">
      <c r="A371" s="42">
        <v>100800023</v>
      </c>
      <c r="B371" s="28">
        <v>1008</v>
      </c>
      <c r="C371" s="28" t="str">
        <f>VLOOKUP(Tabela25[[#This Row],[GRUPO]],[1]Produto!H119:I495,2,0)</f>
        <v>Sundae</v>
      </c>
      <c r="D371" s="43" t="s">
        <v>399</v>
      </c>
      <c r="E371" s="36">
        <v>12</v>
      </c>
      <c r="F371" s="36">
        <v>14</v>
      </c>
      <c r="G371" s="21">
        <f>VLOOKUP(Tabela25[[#This Row],[CÓDIGO]],'[1]Estrutura Loja'!$B$3:$M$2941,5,0)</f>
        <v>13.595954223532065</v>
      </c>
      <c r="H371" s="37">
        <f t="shared" si="5"/>
        <v>-1.5959542235320647</v>
      </c>
      <c r="I371" s="36">
        <v>12</v>
      </c>
      <c r="J371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0.16302706048817381</v>
      </c>
      <c r="K371" s="46">
        <f>Tabela25[[#This Row],[PREÇO PRATICADO]]*Tabela25[[#This Row],[LUCRO REAL %]]</f>
        <v>1.9563247258580856</v>
      </c>
      <c r="L371" s="24"/>
      <c r="M371" s="54">
        <f>IF(Tabela25[[#This Row],[QUANT. VENDA]]=0,0,((Tabela25[[#This Row],[CUSTO]]*Tabela25[[#This Row],[QUANT. VENDA]])/(Tabela25[[#This Row],[QUANT. VENDA]]*Tabela25[[#This Row],[PREÇO PRATICADO]])))</f>
        <v>0</v>
      </c>
      <c r="N371" s="39">
        <f>VLOOKUP(Tabela25[[#This Row],[CÓDIGO]],'[1]Estrutura Loja'!$B$3:$E$1825,4,0)</f>
        <v>3.7796752741419142</v>
      </c>
      <c r="O371" s="39">
        <f>Tabela25[[#This Row],[QUANT. VENDA]]*Tabela25[[#This Row],[PREÇO PRATICADO]]</f>
        <v>0</v>
      </c>
      <c r="P371" s="39">
        <f>Tabela25[[#This Row],[QUANT. VENDA]]*Tabela25[[#This Row],[CUSTO]]</f>
        <v>0</v>
      </c>
      <c r="Q371" s="49">
        <f>Tabela25[[#This Row],[CUSTO]]/Tabela25[[#This Row],[PREÇO PRATICADO]]</f>
        <v>0.3149729395118262</v>
      </c>
    </row>
    <row r="372" spans="1:17" x14ac:dyDescent="0.3">
      <c r="A372" s="42">
        <v>100800025</v>
      </c>
      <c r="B372" s="28">
        <v>1008</v>
      </c>
      <c r="C372" s="28" t="str">
        <f>VLOOKUP(Tabela25[[#This Row],[GRUPO]],[1]Produto!H118:I491,2,0)</f>
        <v>Sundae</v>
      </c>
      <c r="D372" s="43" t="s">
        <v>400</v>
      </c>
      <c r="E372" s="36">
        <v>12</v>
      </c>
      <c r="F372" s="36">
        <v>14</v>
      </c>
      <c r="G372" s="21">
        <f>VLOOKUP(Tabela25[[#This Row],[CÓDIGO]],'[1]Estrutura Loja'!$B$3:$M$2941,5,0)</f>
        <v>8.9894663445283367</v>
      </c>
      <c r="H372" s="37">
        <f t="shared" si="5"/>
        <v>3.0105336554716633</v>
      </c>
      <c r="I372" s="36">
        <v>12</v>
      </c>
      <c r="J372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0.26974402968509348</v>
      </c>
      <c r="K372" s="46">
        <f>Tabela25[[#This Row],[PREÇO PRATICADO]]*Tabela25[[#This Row],[LUCRO REAL %]]</f>
        <v>3.2369283562211217</v>
      </c>
      <c r="L372" s="24"/>
      <c r="M372" s="54">
        <f>IF(Tabela25[[#This Row],[QUANT. VENDA]]=0,0,((Tabela25[[#This Row],[CUSTO]]*Tabela25[[#This Row],[QUANT. VENDA]])/(Tabela25[[#This Row],[QUANT. VENDA]]*Tabela25[[#This Row],[PREÇO PRATICADO]])))</f>
        <v>0</v>
      </c>
      <c r="N372" s="39">
        <f>VLOOKUP(Tabela25[[#This Row],[CÓDIGO]],'[1]Estrutura Loja'!$B$3:$E$1825,4,0)</f>
        <v>2.499071643778878</v>
      </c>
      <c r="O372" s="39">
        <f>Tabela25[[#This Row],[QUANT. VENDA]]*Tabela25[[#This Row],[PREÇO PRATICADO]]</f>
        <v>0</v>
      </c>
      <c r="P372" s="39">
        <f>Tabela25[[#This Row],[QUANT. VENDA]]*Tabela25[[#This Row],[CUSTO]]</f>
        <v>0</v>
      </c>
      <c r="Q372" s="49">
        <f>Tabela25[[#This Row],[CUSTO]]/Tabela25[[#This Row],[PREÇO PRATICADO]]</f>
        <v>0.2082559703149065</v>
      </c>
    </row>
    <row r="373" spans="1:17" x14ac:dyDescent="0.3">
      <c r="A373" s="42">
        <v>100800026</v>
      </c>
      <c r="B373" s="28">
        <v>1008</v>
      </c>
      <c r="C373" s="28" t="str">
        <f>VLOOKUP(Tabela25[[#This Row],[GRUPO]],[1]Produto!H120:I496,2,0)</f>
        <v>Sundae</v>
      </c>
      <c r="D373" s="43" t="s">
        <v>401</v>
      </c>
      <c r="E373" s="36">
        <v>12</v>
      </c>
      <c r="F373" s="36">
        <v>14</v>
      </c>
      <c r="G373" s="21">
        <f>VLOOKUP(Tabela25[[#This Row],[CÓDIGO]],'[1]Estrutura Loja'!$B$3:$M$2941,5,0)</f>
        <v>13.656298027696653</v>
      </c>
      <c r="H373" s="37">
        <f t="shared" si="5"/>
        <v>-1.6562980276966535</v>
      </c>
      <c r="I373" s="36">
        <v>12</v>
      </c>
      <c r="J373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0.16162909569169415</v>
      </c>
      <c r="K373" s="46">
        <f>Tabela25[[#This Row],[PREÇO PRATICADO]]*Tabela25[[#This Row],[LUCRO REAL %]]</f>
        <v>1.9395491483003298</v>
      </c>
      <c r="L373" s="24"/>
      <c r="M373" s="54">
        <f>IF(Tabela25[[#This Row],[QUANT. VENDA]]=0,0,((Tabela25[[#This Row],[CUSTO]]*Tabela25[[#This Row],[QUANT. VENDA]])/(Tabela25[[#This Row],[QUANT. VENDA]]*Tabela25[[#This Row],[PREÇO PRATICADO]])))</f>
        <v>0</v>
      </c>
      <c r="N373" s="39">
        <f>VLOOKUP(Tabela25[[#This Row],[CÓDIGO]],'[1]Estrutura Loja'!$B$3:$E$1825,4,0)</f>
        <v>3.79645085169967</v>
      </c>
      <c r="O373" s="39">
        <f>Tabela25[[#This Row],[QUANT. VENDA]]*Tabela25[[#This Row],[PREÇO PRATICADO]]</f>
        <v>0</v>
      </c>
      <c r="P373" s="39">
        <f>Tabela25[[#This Row],[QUANT. VENDA]]*Tabela25[[#This Row],[CUSTO]]</f>
        <v>0</v>
      </c>
      <c r="Q373" s="49">
        <f>Tabela25[[#This Row],[CUSTO]]/Tabela25[[#This Row],[PREÇO PRATICADO]]</f>
        <v>0.31637090430830583</v>
      </c>
    </row>
    <row r="374" spans="1:17" x14ac:dyDescent="0.3">
      <c r="A374" s="42">
        <v>100600007</v>
      </c>
      <c r="B374" s="28">
        <v>1006</v>
      </c>
      <c r="C374" s="28" t="str">
        <f>VLOOKUP(Tabela25[[#This Row],[GRUPO]],[1]Produto!H104:I442,2,0)</f>
        <v>Top Mix</v>
      </c>
      <c r="D374" s="43" t="s">
        <v>402</v>
      </c>
      <c r="E374" s="44">
        <v>20</v>
      </c>
      <c r="F374" s="44">
        <v>22</v>
      </c>
      <c r="G374" s="21">
        <f>VLOOKUP(Tabela25[[#This Row],[CÓDIGO]],'[1]Estrutura Loja'!$B$3:$M$2941,5,0)</f>
        <v>20.003711555726159</v>
      </c>
      <c r="H374" s="45">
        <f t="shared" si="5"/>
        <v>-3.7115557261593324E-3</v>
      </c>
      <c r="I374" s="44">
        <v>20</v>
      </c>
      <c r="J374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0.19994840937540631</v>
      </c>
      <c r="K374" s="46">
        <f>Tabela25[[#This Row],[PREÇO PRATICADO]]*Tabela25[[#This Row],[LUCRO REAL %]]</f>
        <v>3.998968187508126</v>
      </c>
      <c r="L374" s="24"/>
      <c r="M374" s="54">
        <f>IF(Tabela25[[#This Row],[QUANT. VENDA]]=0,0,((Tabela25[[#This Row],[CUSTO]]*Tabela25[[#This Row],[QUANT. VENDA]])/(Tabela25[[#This Row],[QUANT. VENDA]]*Tabela25[[#This Row],[PREÇO PRATICADO]])))</f>
        <v>0</v>
      </c>
      <c r="N374" s="48">
        <f>VLOOKUP(Tabela25[[#This Row],[CÓDIGO]],'[1]Estrutura Loja'!$B$3:$E$1825,4,0)</f>
        <v>5.5610318124918727</v>
      </c>
      <c r="O374" s="48">
        <f>Tabela25[[#This Row],[QUANT. VENDA]]*Tabela25[[#This Row],[PREÇO PRATICADO]]</f>
        <v>0</v>
      </c>
      <c r="P374" s="48">
        <f>Tabela25[[#This Row],[QUANT. VENDA]]*Tabela25[[#This Row],[CUSTO]]</f>
        <v>0</v>
      </c>
      <c r="Q374" s="49">
        <f>Tabela25[[#This Row],[CUSTO]]/Tabela25[[#This Row],[PREÇO PRATICADO]]</f>
        <v>0.27805159062459361</v>
      </c>
    </row>
    <row r="375" spans="1:17" x14ac:dyDescent="0.3">
      <c r="A375" s="42">
        <v>100600013</v>
      </c>
      <c r="B375" s="28">
        <v>1006</v>
      </c>
      <c r="C375" s="28" t="str">
        <f>VLOOKUP(Tabela25[[#This Row],[GRUPO]],[1]Produto!H107:I474,2,0)</f>
        <v>Top Mix</v>
      </c>
      <c r="D375" s="43" t="s">
        <v>403</v>
      </c>
      <c r="E375" s="44">
        <v>20</v>
      </c>
      <c r="F375" s="44">
        <v>22</v>
      </c>
      <c r="G375" s="21">
        <f>VLOOKUP(Tabela25[[#This Row],[CÓDIGO]],'[1]Estrutura Loja'!$B$3:$M$2941,5,0)</f>
        <v>26.444177641065718</v>
      </c>
      <c r="H375" s="45">
        <f t="shared" si="5"/>
        <v>-6.4441776410657177</v>
      </c>
      <c r="I375" s="44">
        <v>20</v>
      </c>
      <c r="J375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0.11042593078918643</v>
      </c>
      <c r="K375" s="46">
        <f>Tabela25[[#This Row],[PREÇO PRATICADO]]*Tabela25[[#This Row],[LUCRO REAL %]]</f>
        <v>2.2085186157837287</v>
      </c>
      <c r="L375" s="24"/>
      <c r="M375" s="54">
        <f>IF(Tabela25[[#This Row],[QUANT. VENDA]]=0,0,((Tabela25[[#This Row],[CUSTO]]*Tabela25[[#This Row],[QUANT. VENDA]])/(Tabela25[[#This Row],[QUANT. VENDA]]*Tabela25[[#This Row],[PREÇO PRATICADO]])))</f>
        <v>0</v>
      </c>
      <c r="N375" s="48">
        <f>VLOOKUP(Tabela25[[#This Row],[CÓDIGO]],'[1]Estrutura Loja'!$B$3:$E$1825,4,0)</f>
        <v>7.3514813842162701</v>
      </c>
      <c r="O375" s="48">
        <f>Tabela25[[#This Row],[QUANT. VENDA]]*Tabela25[[#This Row],[PREÇO PRATICADO]]</f>
        <v>0</v>
      </c>
      <c r="P375" s="48">
        <f>Tabela25[[#This Row],[QUANT. VENDA]]*Tabela25[[#This Row],[CUSTO]]</f>
        <v>0</v>
      </c>
      <c r="Q375" s="49">
        <f>Tabela25[[#This Row],[CUSTO]]/Tabela25[[#This Row],[PREÇO PRATICADO]]</f>
        <v>0.36757406921081348</v>
      </c>
    </row>
    <row r="376" spans="1:17" x14ac:dyDescent="0.3">
      <c r="A376" s="42">
        <v>100600016</v>
      </c>
      <c r="B376" s="28">
        <v>1006</v>
      </c>
      <c r="C376" s="28" t="str">
        <f>VLOOKUP(Tabela25[[#This Row],[GRUPO]],[1]Produto!H108:I475,2,0)</f>
        <v>Top Mix</v>
      </c>
      <c r="D376" s="43" t="s">
        <v>404</v>
      </c>
      <c r="E376" s="44">
        <v>20</v>
      </c>
      <c r="F376" s="44">
        <v>22</v>
      </c>
      <c r="G376" s="21">
        <f>VLOOKUP(Tabela25[[#This Row],[CÓDIGO]],'[1]Estrutura Loja'!$B$3:$M$2941,5,0)</f>
        <v>26.444177641065718</v>
      </c>
      <c r="H376" s="45">
        <f t="shared" si="5"/>
        <v>-6.4441776410657177</v>
      </c>
      <c r="I376" s="44">
        <v>20</v>
      </c>
      <c r="J376" s="2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0.11042593078918643</v>
      </c>
      <c r="K376" s="46">
        <f>Tabela25[[#This Row],[PREÇO PRATICADO]]*Tabela25[[#This Row],[LUCRO REAL %]]</f>
        <v>2.2085186157837287</v>
      </c>
      <c r="L376" s="24"/>
      <c r="M376" s="54">
        <f>IF(Tabela25[[#This Row],[QUANT. VENDA]]=0,0,((Tabela25[[#This Row],[CUSTO]]*Tabela25[[#This Row],[QUANT. VENDA]])/(Tabela25[[#This Row],[QUANT. VENDA]]*Tabela25[[#This Row],[PREÇO PRATICADO]])))</f>
        <v>0</v>
      </c>
      <c r="N376" s="48">
        <f>VLOOKUP(Tabela25[[#This Row],[CÓDIGO]],'[1]Estrutura Loja'!$B$3:$E$1825,4,0)</f>
        <v>7.3514813842162701</v>
      </c>
      <c r="O376" s="48">
        <f>Tabela25[[#This Row],[QUANT. VENDA]]*Tabela25[[#This Row],[PREÇO PRATICADO]]</f>
        <v>0</v>
      </c>
      <c r="P376" s="48">
        <f>Tabela25[[#This Row],[QUANT. VENDA]]*Tabela25[[#This Row],[CUSTO]]</f>
        <v>0</v>
      </c>
      <c r="Q376" s="49">
        <f>Tabela25[[#This Row],[CUSTO]]/Tabela25[[#This Row],[PREÇO PRATICADO]]</f>
        <v>0.36757406921081348</v>
      </c>
    </row>
    <row r="377" spans="1:17" x14ac:dyDescent="0.3">
      <c r="A377" s="66">
        <v>100600032</v>
      </c>
      <c r="B377" s="28">
        <v>1006</v>
      </c>
      <c r="C377" s="28" t="str">
        <f>VLOOKUP(Tabela25[[#This Row],[GRUPO]],[1]Produto!H117:I442,2,0)</f>
        <v>Top Mix</v>
      </c>
      <c r="D377" s="35" t="s">
        <v>405</v>
      </c>
      <c r="E377" s="36">
        <v>20</v>
      </c>
      <c r="F377" s="44">
        <v>22</v>
      </c>
      <c r="G377" s="21">
        <f>VLOOKUP(Tabela25[[#This Row],[CÓDIGO]],'[1]Estrutura Loja'!$B$3:$M$2941,5,0)</f>
        <v>22.184380646911041</v>
      </c>
      <c r="H377" s="37">
        <f t="shared" si="5"/>
        <v>-2.1843806469110412</v>
      </c>
      <c r="I377" s="36">
        <v>20</v>
      </c>
      <c r="J377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0.16963710900793644</v>
      </c>
      <c r="K377" s="53">
        <f>Tabela25[[#This Row],[PREÇO PRATICADO]]*Tabela25[[#This Row],[LUCRO REAL %]]</f>
        <v>3.392742180158729</v>
      </c>
      <c r="L377" s="24"/>
      <c r="M377" s="54">
        <f>IF(Tabela25[[#This Row],[QUANT. VENDA]]=0,0,((Tabela25[[#This Row],[CUSTO]]*Tabela25[[#This Row],[QUANT. VENDA]])/(Tabela25[[#This Row],[QUANT. VENDA]]*Tabela25[[#This Row],[PREÇO PRATICADO]])))</f>
        <v>0</v>
      </c>
      <c r="N377" s="39">
        <f>VLOOKUP(Tabela25[[#This Row],[CÓDIGO]],'[1]Estrutura Loja'!$B$3:$E$1825,4,0)</f>
        <v>6.1672578198412698</v>
      </c>
      <c r="O377" s="39">
        <f>Tabela25[[#This Row],[QUANT. VENDA]]*Tabela25[[#This Row],[PREÇO PRATICADO]]</f>
        <v>0</v>
      </c>
      <c r="P377" s="39">
        <f>Tabela25[[#This Row],[QUANT. VENDA]]*Tabela25[[#This Row],[CUSTO]]</f>
        <v>0</v>
      </c>
      <c r="Q377" s="55">
        <f>Tabela25[[#This Row],[CUSTO]]/Tabela25[[#This Row],[PREÇO PRATICADO]]</f>
        <v>0.30836289099206349</v>
      </c>
    </row>
    <row r="378" spans="1:17" x14ac:dyDescent="0.3">
      <c r="A378" s="66">
        <v>160000001</v>
      </c>
      <c r="B378" s="28">
        <v>1006</v>
      </c>
      <c r="C378" s="28" t="str">
        <f>VLOOKUP(Tabela25[[#This Row],[GRUPO]],[1]Produto!H109:I476,2,0)</f>
        <v>Top Mix</v>
      </c>
      <c r="D378" s="35" t="s">
        <v>406</v>
      </c>
      <c r="E378" s="36">
        <v>8</v>
      </c>
      <c r="F378" s="36">
        <v>8</v>
      </c>
      <c r="G378" s="21">
        <f>VLOOKUP(Tabela25[[#This Row],[CÓDIGO]],'[1]Estrutura Loja'!$B$3:$M$2941,5,0)</f>
        <v>9.1255683453237406</v>
      </c>
      <c r="H378" s="37">
        <f t="shared" si="5"/>
        <v>-1.1255683453237406</v>
      </c>
      <c r="I378" s="36">
        <v>8</v>
      </c>
      <c r="J378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0.16088649999999999</v>
      </c>
      <c r="K378" s="53">
        <f>Tabela25[[#This Row],[PREÇO PRATICADO]]*Tabela25[[#This Row],[LUCRO REAL %]]</f>
        <v>1.2870919999999999</v>
      </c>
      <c r="L378" s="24"/>
      <c r="M378" s="54">
        <f>IF(Tabela25[[#This Row],[QUANT. VENDA]]=0,0,((Tabela25[[#This Row],[CUSTO]]*Tabela25[[#This Row],[QUANT. VENDA]])/(Tabela25[[#This Row],[QUANT. VENDA]]*Tabela25[[#This Row],[PREÇO PRATICADO]])))</f>
        <v>0</v>
      </c>
      <c r="N378" s="39">
        <f>VLOOKUP(Tabela25[[#This Row],[CÓDIGO]],'[1]Estrutura Loja'!$B$3:$E$1825,4,0)</f>
        <v>2.5369079999999999</v>
      </c>
      <c r="O378" s="39">
        <f>Tabela25[[#This Row],[QUANT. VENDA]]*Tabela25[[#This Row],[PREÇO PRATICADO]]</f>
        <v>0</v>
      </c>
      <c r="P378" s="39">
        <f>Tabela25[[#This Row],[QUANT. VENDA]]*Tabela25[[#This Row],[CUSTO]]</f>
        <v>0</v>
      </c>
      <c r="Q378" s="55">
        <f>Tabela25[[#This Row],[CUSTO]]/Tabela25[[#This Row],[PREÇO PRATICADO]]</f>
        <v>0.31711349999999999</v>
      </c>
    </row>
    <row r="379" spans="1:17" x14ac:dyDescent="0.3">
      <c r="A379" s="66">
        <v>160000002</v>
      </c>
      <c r="B379" s="28">
        <v>1006</v>
      </c>
      <c r="C379" s="28" t="str">
        <f>VLOOKUP(Tabela25[[#This Row],[GRUPO]],[1]Produto!H110:I477,2,0)</f>
        <v>Top Mix</v>
      </c>
      <c r="D379" s="35" t="s">
        <v>407</v>
      </c>
      <c r="E379" s="36">
        <v>2</v>
      </c>
      <c r="F379" s="36">
        <v>2.5</v>
      </c>
      <c r="G379" s="21">
        <f>VLOOKUP(Tabela25[[#This Row],[CÓDIGO]],'[1]Estrutura Loja'!$B$3:$M$2941,5,0)</f>
        <v>1.490539568345324</v>
      </c>
      <c r="H379" s="37">
        <f t="shared" si="5"/>
        <v>0.50946043165467603</v>
      </c>
      <c r="I379" s="36">
        <v>2</v>
      </c>
      <c r="J379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0.27081499999999992</v>
      </c>
      <c r="K379" s="53">
        <f>Tabela25[[#This Row],[PREÇO PRATICADO]]*Tabela25[[#This Row],[LUCRO REAL %]]</f>
        <v>0.54162999999999983</v>
      </c>
      <c r="L379" s="24"/>
      <c r="M379" s="54">
        <f>IF(Tabela25[[#This Row],[QUANT. VENDA]]=0,0,((Tabela25[[#This Row],[CUSTO]]*Tabela25[[#This Row],[QUANT. VENDA]])/(Tabela25[[#This Row],[QUANT. VENDA]]*Tabela25[[#This Row],[PREÇO PRATICADO]])))</f>
        <v>0</v>
      </c>
      <c r="N379" s="39">
        <f>VLOOKUP(Tabela25[[#This Row],[CÓDIGO]],'[1]Estrutura Loja'!$B$3:$E$1825,4,0)</f>
        <v>0.41437000000000007</v>
      </c>
      <c r="O379" s="39">
        <f>Tabela25[[#This Row],[QUANT. VENDA]]*Tabela25[[#This Row],[PREÇO PRATICADO]]</f>
        <v>0</v>
      </c>
      <c r="P379" s="39">
        <f>Tabela25[[#This Row],[QUANT. VENDA]]*Tabela25[[#This Row],[CUSTO]]</f>
        <v>0</v>
      </c>
      <c r="Q379" s="55">
        <f>Tabela25[[#This Row],[CUSTO]]/Tabela25[[#This Row],[PREÇO PRATICADO]]</f>
        <v>0.20718500000000004</v>
      </c>
    </row>
    <row r="380" spans="1:17" x14ac:dyDescent="0.3">
      <c r="A380" s="66">
        <v>160000003</v>
      </c>
      <c r="B380" s="28">
        <v>1006</v>
      </c>
      <c r="C380" s="28" t="str">
        <f>VLOOKUP(Tabela25[[#This Row],[GRUPO]],[1]Produto!H111:I478,2,0)</f>
        <v>Top Mix</v>
      </c>
      <c r="D380" s="35" t="s">
        <v>408</v>
      </c>
      <c r="E380" s="36">
        <v>3</v>
      </c>
      <c r="F380" s="36">
        <v>3</v>
      </c>
      <c r="G380" s="21">
        <f>VLOOKUP(Tabela25[[#This Row],[CÓDIGO]],'[1]Estrutura Loja'!$B$3:$M$2941,5,0)</f>
        <v>2.226378896882494</v>
      </c>
      <c r="H380" s="37">
        <f t="shared" si="5"/>
        <v>0.77362110311750598</v>
      </c>
      <c r="I380" s="36">
        <v>3</v>
      </c>
      <c r="J380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0.27168888888888881</v>
      </c>
      <c r="K380" s="53">
        <f>Tabela25[[#This Row],[PREÇO PRATICADO]]*Tabela25[[#This Row],[LUCRO REAL %]]</f>
        <v>0.81506666666666638</v>
      </c>
      <c r="L380" s="24"/>
      <c r="M380" s="54">
        <f>IF(Tabela25[[#This Row],[QUANT. VENDA]]=0,0,((Tabela25[[#This Row],[CUSTO]]*Tabela25[[#This Row],[QUANT. VENDA]])/(Tabela25[[#This Row],[QUANT. VENDA]]*Tabela25[[#This Row],[PREÇO PRATICADO]])))</f>
        <v>0</v>
      </c>
      <c r="N380" s="39">
        <f>VLOOKUP(Tabela25[[#This Row],[CÓDIGO]],'[1]Estrutura Loja'!$B$3:$E$1825,4,0)</f>
        <v>0.61893333333333345</v>
      </c>
      <c r="O380" s="39">
        <f>Tabela25[[#This Row],[QUANT. VENDA]]*Tabela25[[#This Row],[PREÇO PRATICADO]]</f>
        <v>0</v>
      </c>
      <c r="P380" s="39">
        <f>Tabela25[[#This Row],[QUANT. VENDA]]*Tabela25[[#This Row],[CUSTO]]</f>
        <v>0</v>
      </c>
      <c r="Q380" s="55">
        <f>Tabela25[[#This Row],[CUSTO]]/Tabela25[[#This Row],[PREÇO PRATICADO]]</f>
        <v>0.20631111111111114</v>
      </c>
    </row>
    <row r="381" spans="1:17" x14ac:dyDescent="0.3">
      <c r="A381" s="66">
        <v>160000004</v>
      </c>
      <c r="B381" s="28">
        <v>1006</v>
      </c>
      <c r="C381" s="28" t="str">
        <f>VLOOKUP(Tabela25[[#This Row],[GRUPO]],[1]Produto!H112:I479,2,0)</f>
        <v>Top Mix</v>
      </c>
      <c r="D381" s="35" t="s">
        <v>409</v>
      </c>
      <c r="E381" s="36">
        <v>1.5</v>
      </c>
      <c r="F381" s="36">
        <v>3</v>
      </c>
      <c r="G381" s="21">
        <f>VLOOKUP(Tabela25[[#This Row],[CÓDIGO]],'[1]Estrutura Loja'!$B$3:$M$2941,5,0)</f>
        <v>1.6722110311750598</v>
      </c>
      <c r="H381" s="37">
        <f t="shared" si="5"/>
        <v>-0.17221103117505976</v>
      </c>
      <c r="I381" s="36">
        <v>1.5</v>
      </c>
      <c r="J381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0.16808355555555554</v>
      </c>
      <c r="K381" s="53">
        <f>Tabela25[[#This Row],[PREÇO PRATICADO]]*Tabela25[[#This Row],[LUCRO REAL %]]</f>
        <v>0.25212533333333331</v>
      </c>
      <c r="L381" s="24"/>
      <c r="M381" s="54">
        <f>IF(Tabela25[[#This Row],[QUANT. VENDA]]=0,0,((Tabela25[[#This Row],[CUSTO]]*Tabela25[[#This Row],[QUANT. VENDA]])/(Tabela25[[#This Row],[QUANT. VENDA]]*Tabela25[[#This Row],[PREÇO PRATICADO]])))</f>
        <v>0</v>
      </c>
      <c r="N381" s="39">
        <f>VLOOKUP(Tabela25[[#This Row],[CÓDIGO]],'[1]Estrutura Loja'!$B$3:$E$1825,4,0)</f>
        <v>0.46487466666666666</v>
      </c>
      <c r="O381" s="39">
        <f>Tabela25[[#This Row],[QUANT. VENDA]]*Tabela25[[#This Row],[PREÇO PRATICADO]]</f>
        <v>0</v>
      </c>
      <c r="P381" s="39">
        <f>Tabela25[[#This Row],[QUANT. VENDA]]*Tabela25[[#This Row],[CUSTO]]</f>
        <v>0</v>
      </c>
      <c r="Q381" s="55">
        <f>Tabela25[[#This Row],[CUSTO]]/Tabela25[[#This Row],[PREÇO PRATICADO]]</f>
        <v>0.30991644444444444</v>
      </c>
    </row>
    <row r="382" spans="1:17" x14ac:dyDescent="0.3">
      <c r="A382" s="66">
        <v>160000005</v>
      </c>
      <c r="B382" s="28">
        <v>1006</v>
      </c>
      <c r="C382" s="28" t="str">
        <f>VLOOKUP(Tabela25[[#This Row],[GRUPO]],[1]Produto!H113:I480,2,0)</f>
        <v>Top Mix</v>
      </c>
      <c r="D382" s="35" t="s">
        <v>410</v>
      </c>
      <c r="E382" s="36">
        <v>4</v>
      </c>
      <c r="F382" s="36">
        <v>5</v>
      </c>
      <c r="G382" s="21">
        <f>VLOOKUP(Tabela25[[#This Row],[CÓDIGO]],'[1]Estrutura Loja'!$B$3:$M$2941,5,0)</f>
        <v>4.4751798561151075</v>
      </c>
      <c r="H382" s="37">
        <f t="shared" si="5"/>
        <v>-0.47517985611510749</v>
      </c>
      <c r="I382" s="36">
        <v>4</v>
      </c>
      <c r="J382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0.16697499999999998</v>
      </c>
      <c r="K382" s="53">
        <f>Tabela25[[#This Row],[PREÇO PRATICADO]]*Tabela25[[#This Row],[LUCRO REAL %]]</f>
        <v>0.66789999999999994</v>
      </c>
      <c r="L382" s="24"/>
      <c r="M382" s="54">
        <f>IF(Tabela25[[#This Row],[QUANT. VENDA]]=0,0,((Tabela25[[#This Row],[CUSTO]]*Tabela25[[#This Row],[QUANT. VENDA]])/(Tabela25[[#This Row],[QUANT. VENDA]]*Tabela25[[#This Row],[PREÇO PRATICADO]])))</f>
        <v>0</v>
      </c>
      <c r="N382" s="39">
        <f>VLOOKUP(Tabela25[[#This Row],[CÓDIGO]],'[1]Estrutura Loja'!$B$3:$E$1825,4,0)</f>
        <v>1.2441</v>
      </c>
      <c r="O382" s="39">
        <f>Tabela25[[#This Row],[QUANT. VENDA]]*Tabela25[[#This Row],[PREÇO PRATICADO]]</f>
        <v>0</v>
      </c>
      <c r="P382" s="39">
        <f>Tabela25[[#This Row],[QUANT. VENDA]]*Tabela25[[#This Row],[CUSTO]]</f>
        <v>0</v>
      </c>
      <c r="Q382" s="55">
        <f>Tabela25[[#This Row],[CUSTO]]/Tabela25[[#This Row],[PREÇO PRATICADO]]</f>
        <v>0.311025</v>
      </c>
    </row>
    <row r="383" spans="1:17" x14ac:dyDescent="0.3">
      <c r="A383" s="66">
        <v>160000006</v>
      </c>
      <c r="B383" s="28">
        <v>1006</v>
      </c>
      <c r="C383" s="28" t="str">
        <f>VLOOKUP(Tabela25[[#This Row],[GRUPO]],[1]Produto!H114:I481,2,0)</f>
        <v>Top Mix</v>
      </c>
      <c r="D383" s="95" t="s">
        <v>411</v>
      </c>
      <c r="E383" s="36">
        <v>3</v>
      </c>
      <c r="F383" s="36">
        <v>4</v>
      </c>
      <c r="G383" s="37">
        <f>VLOOKUP(Tabela25[[#This Row],[CÓDIGO]],'[1]Estrutura Loja'!$B$3:$M$2941,5,0)</f>
        <v>2.5268645842819417</v>
      </c>
      <c r="H383" s="37">
        <f t="shared" si="5"/>
        <v>0.47313541571805828</v>
      </c>
      <c r="I383" s="36">
        <v>3</v>
      </c>
      <c r="J383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0.24384388185654005</v>
      </c>
      <c r="K383" s="53">
        <f>Tabela25[[#This Row],[PREÇO PRATICADO]]*Tabela25[[#This Row],[LUCRO REAL %]]</f>
        <v>0.73153164556962014</v>
      </c>
      <c r="L383" s="38"/>
      <c r="M383" s="67">
        <f>IF(Tabela25[[#This Row],[QUANT. VENDA]]=0,0,((Tabela25[[#This Row],[CUSTO]]*Tabela25[[#This Row],[QUANT. VENDA]])/(Tabela25[[#This Row],[QUANT. VENDA]]*Tabela25[[#This Row],[PREÇO PRATICADO]])))</f>
        <v>0</v>
      </c>
      <c r="N383" s="39">
        <f>VLOOKUP(Tabela25[[#This Row],[CÓDIGO]],'[1]Estrutura Loja'!$B$3:$E$1825,4,0)</f>
        <v>0.7024683544303798</v>
      </c>
      <c r="O383" s="39">
        <f>Tabela25[[#This Row],[QUANT. VENDA]]*Tabela25[[#This Row],[PREÇO PRATICADO]]</f>
        <v>0</v>
      </c>
      <c r="P383" s="39">
        <f>Tabela25[[#This Row],[QUANT. VENDA]]*Tabela25[[#This Row],[CUSTO]]</f>
        <v>0</v>
      </c>
      <c r="Q383" s="55">
        <f>Tabela25[[#This Row],[CUSTO]]/Tabela25[[#This Row],[PREÇO PRATICADO]]</f>
        <v>0.23415611814345993</v>
      </c>
    </row>
    <row r="384" spans="1:17" x14ac:dyDescent="0.3">
      <c r="A384" s="66">
        <v>160000007</v>
      </c>
      <c r="B384" s="28">
        <v>1006</v>
      </c>
      <c r="C384" s="28" t="str">
        <f>VLOOKUP(Tabela25[[#This Row],[GRUPO]],[1]Produto!H115:I482,2,0)</f>
        <v>Top Mix</v>
      </c>
      <c r="D384" s="95" t="s">
        <v>412</v>
      </c>
      <c r="E384" s="36">
        <v>2</v>
      </c>
      <c r="F384" s="36">
        <v>2.5</v>
      </c>
      <c r="G384" s="37">
        <f>VLOOKUP(Tabela25[[#This Row],[CÓDIGO]],'[1]Estrutura Loja'!$B$3:$M$2941,5,0)</f>
        <v>1.6246762589928059</v>
      </c>
      <c r="H384" s="37">
        <f t="shared" si="5"/>
        <v>0.37532374100719412</v>
      </c>
      <c r="I384" s="36">
        <v>2</v>
      </c>
      <c r="J384" s="52">
        <f>(Tabela25[[#This Row],[PREÇO PRATICADO]]-((Tabela25[[#This Row],[PREÇO PRATICADO]])*([1]Informações!$H$6+[1]Informações!$H$15+[1]Informações!$H$19+[1]Informações!$H$20))-Tabela25[[#This Row],[CUSTO]])/Tabela25[[#This Row],[PREÇO PRATICADO]]</f>
        <v>0.25216999999999995</v>
      </c>
      <c r="K384" s="53">
        <f>Tabela25[[#This Row],[PREÇO PRATICADO]]*Tabela25[[#This Row],[LUCRO REAL %]]</f>
        <v>0.5043399999999999</v>
      </c>
      <c r="L384" s="38"/>
      <c r="M384" s="67">
        <f>IF(Tabela25[[#This Row],[QUANT. VENDA]]=0,0,((Tabela25[[#This Row],[CUSTO]]*Tabela25[[#This Row],[QUANT. VENDA]])/(Tabela25[[#This Row],[QUANT. VENDA]]*Tabela25[[#This Row],[PREÇO PRATICADO]])))</f>
        <v>0</v>
      </c>
      <c r="N384" s="39">
        <f>VLOOKUP(Tabela25[[#This Row],[CÓDIGO]],'[1]Estrutura Loja'!$B$3:$E$1825,4,0)</f>
        <v>0.45166000000000006</v>
      </c>
      <c r="O384" s="39">
        <f>Tabela25[[#This Row],[QUANT. VENDA]]*Tabela25[[#This Row],[PREÇO PRATICADO]]</f>
        <v>0</v>
      </c>
      <c r="P384" s="39">
        <f>Tabela25[[#This Row],[QUANT. VENDA]]*Tabela25[[#This Row],[CUSTO]]</f>
        <v>0</v>
      </c>
      <c r="Q384" s="55">
        <f>Tabela25[[#This Row],[CUSTO]]/Tabela25[[#This Row],[PREÇO PRATICADO]]</f>
        <v>0.22583000000000003</v>
      </c>
    </row>
    <row r="386" spans="9:14" x14ac:dyDescent="0.3">
      <c r="I386" s="32"/>
    </row>
    <row r="388" spans="9:14" x14ac:dyDescent="0.3">
      <c r="I388" s="40"/>
    </row>
    <row r="389" spans="9:14" x14ac:dyDescent="0.3">
      <c r="I389" s="40"/>
      <c r="N389" s="40"/>
    </row>
    <row r="390" spans="9:14" x14ac:dyDescent="0.3">
      <c r="N390" s="40"/>
    </row>
    <row r="391" spans="9:14" x14ac:dyDescent="0.3">
      <c r="I391" s="40"/>
      <c r="N391" s="40"/>
    </row>
  </sheetData>
  <sheetProtection selectLockedCells="1" autoFilter="0"/>
  <mergeCells count="8">
    <mergeCell ref="S9:T9"/>
    <mergeCell ref="V9:W9"/>
    <mergeCell ref="A1:Q3"/>
    <mergeCell ref="S1:T1"/>
    <mergeCell ref="V1:W1"/>
    <mergeCell ref="Y1:Z1"/>
    <mergeCell ref="S8:T8"/>
    <mergeCell ref="V8:W8"/>
  </mergeCells>
  <pageMargins left="0.23622047244094491" right="0.23622047244094491" top="0.74803149606299213" bottom="0.74803149606299213" header="0.31496062992125984" footer="0.31496062992125984"/>
  <pageSetup paperSize="9" scale="65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SUGESTAO_LOJA</vt:lpstr>
      <vt:lpstr>SUGESTAO_LOJA!Area_de_impressao</vt:lpstr>
      <vt:lpstr>SUGESTAO_LOJA!Titulos_de_impressao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 Henrique</dc:creator>
  <cp:lastModifiedBy>Benson Henrique</cp:lastModifiedBy>
  <dcterms:created xsi:type="dcterms:W3CDTF">2026-01-20T20:42:47Z</dcterms:created>
  <dcterms:modified xsi:type="dcterms:W3CDTF">2026-01-20T20:43:17Z</dcterms:modified>
</cp:coreProperties>
</file>